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cd5b1d8ae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4c676bf7cc8d48c7"/>
    <x:sheet xmlns:r="http://schemas.openxmlformats.org/officeDocument/2006/relationships" name="Findings" sheetId="2" r:id="R92eb98b750494ded"/>
    <x:sheet xmlns:r="http://schemas.openxmlformats.org/officeDocument/2006/relationships" name="Original register" sheetId="3" r:id="R01d1b20cd6d0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243447"/>
      <x:name val="Arial"/>
    </x:font>
    <x:font>
      <x:i/>
      <x:sz val="10"/>
      <x:color rgb="FF58687A"/>
      <x:name val="Arial"/>
    </x:font>
    <x:font>
      <x:b/>
      <x:sz val="10"/>
      <x:color rgb="FF243447"/>
      <x:name val="Arial"/>
    </x:font>
    <x:font>
      <x:sz val="10"/>
      <x:color rgb="FF243447"/>
      <x:name val="Arial"/>
    </x:font>
    <x:font>
      <x:i/>
      <x:sz val="10"/>
      <x:color rgb="FF24344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5EF"/>
      </x:patternFill>
    </x:fill>
    <x:fill>
      <x:patternFill patternType="solid">
        <x:fgColor rgb="FF243447"/>
      </x:patternFill>
    </x:fill>
    <x:fill>
      <x:patternFill patternType="solid">
        <x:fgColor rgb="FFF7F9FC"/>
      </x:patternFill>
    </x:fill>
    <x:fill>
      <x:patternFill patternType="solid">
        <x:fgColor rgb="FFF2F5F9"/>
      </x:patternFill>
    </x:fill>
  </x:fills>
  <x:borders count="3">
    <x:border/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horizontal="left"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27623B"/>
      </x:font>
      <x:fill>
        <x:patternFill patternType="solid">
          <x:bgColor rgb="FFE8F2EC"/>
        </x:patternFill>
      </x:fill>
    </x:dxf>
    <x:dxf>
      <x:font>
        <x:b/>
        <x:color rgb="FF922D32"/>
      </x:font>
      <x:fill>
        <x:patternFill patternType="solid">
          <x:bgColor rgb="FFFBE5E4"/>
        </x:patternFill>
      </x:fill>
    </x:dxf>
    <x:dxf>
      <x:font>
        <x:b/>
        <x:color rgb="FF805322"/>
      </x:font>
      <x:fill>
        <x:patternFill patternType="solid">
          <x:bgColor rgb="FFFFF1DC"/>
        </x:patternFill>
      </x:fill>
    </x:dxf>
    <x:dxf>
      <x:font>
        <x:b/>
        <x:color rgb="FF46566D"/>
      </x:font>
      <x:fill>
        <x:patternFill patternType="solid">
          <x:bgColor rgb="FFE9EDF3"/>
        </x:patternFill>
      </x:fill>
    </x:dxf>
    <x:dxf>
      <x:font>
        <x:b/>
        <x:color rgb="FF6A4685"/>
      </x:font>
      <x:fill>
        <x:patternFill patternType="solid">
          <x:bgColor rgb="FFF0E9F7"/>
        </x:patternFill>
      </x:fill>
    </x:dxf>
    <x:dxf>
      <x:font>
        <x:b/>
        <x:color rgb="FF922D32"/>
      </x:font>
      <x:fill>
        <x:patternFill patternType="solid">
          <x:bgColor rgb="FFFBE5E4"/>
        </x:patternFill>
      </x:fill>
    </x:dxf>
    <x:dxf>
      <x:font>
        <x:b/>
        <x:color rgb="FF805322"/>
      </x:font>
      <x:fill>
        <x:patternFill patternType="solid">
          <x:bgColor rgb="FFFFF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b527b2f774e8d" /><Relationship Type="http://schemas.openxmlformats.org/officeDocument/2006/relationships/theme" Target="/xl/theme/theme1.xml" Id="R6fe906e801994e3d" /><Relationship Type="http://schemas.openxmlformats.org/officeDocument/2006/relationships/sharedStrings" Target="/xl/sharedStrings.xml" Id="R2160ed6a48e64cec" /><Relationship Type="http://schemas.openxmlformats.org/officeDocument/2006/relationships/worksheet" Target="/xl/worksheets/sheet1.xml" Id="R4c676bf7cc8d48c7" /><Relationship Type="http://schemas.openxmlformats.org/officeDocument/2006/relationships/worksheet" Target="/xl/worksheets/sheet2.xml" Id="R92eb98b750494ded" /><Relationship Type="http://schemas.openxmlformats.org/officeDocument/2006/relationships/worksheet" Target="/xl/worksheets/sheet3.xml" Id="R01d1b20cd6d04b4d" /></Relationships>
</file>

<file path=xl/tables/table1.xml><?xml version="1.0" encoding="utf-8"?>
<x:table xmlns:x="http://schemas.openxmlformats.org/spreadsheetml/2006/main" id="1" name="AvenAudit" displayName="AvenAudit" ref="A12:J127" headerRowCount="1" totalsRowCount="0" totalsRowShown="0">
  <x:autoFilter ref="A12:J127"/>
  <x:tableColumns count="10">
    <x:tableColumn id="1" name="ID"/>
    <x:tableColumn id="2" name="Area"/>
    <x:tableColumn id="3" name="Feature"/>
    <x:tableColumn id="4" name="Original Delivery"/>
    <x:tableColumn id="5" name="Independent verdict"/>
    <x:tableColumn id="6" name="Evidence level"/>
    <x:tableColumn id="7" name="Finding / gap"/>
    <x:tableColumn id="8" name="Next action"/>
    <x:tableColumn id="9" name="Limitation"/>
    <x:tableColumn id="10" name="Evidence ref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AvenFindings" displayName="AvenFindings" ref="A10:H15" headerRowCount="1" totalsRowCount="0" totalsRowShown="0">
  <x:autoFilter ref="A10:H15"/>
  <x:tableColumns count="8">
    <x:tableColumn id="1" name="ID"/>
    <x:tableColumn id="2" name="Feature"/>
    <x:tableColumn id="3" name="Defect title"/>
    <x:tableColumn id="4" name="Repro"/>
    <x:tableColumn id="5" name="Expected"/>
    <x:tableColumn id="6" name="Actual"/>
    <x:tableColumn id="7" name="Severity"/>
    <x:tableColumn id="8" name="Evidence ref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OriginalAvenRegister" displayName="OriginalAvenRegister" ref="A5:P120" headerRowCount="1" totalsRowCount="0" totalsRowShown="0">
  <x:autoFilter ref="A5:P120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43ba5e195c45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36fa5f24244b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ccbc1ace7940e9" /></Relationships>
</file>

<file path=xl/worksheets/sheet1.xml><?xml version="1.0" encoding="utf-8"?>
<x:worksheet xmlns:x="http://schemas.openxmlformats.org/spreadsheetml/2006/main">
  <x:sheetPr>
    <x:tabColor rgb="FF243447"/>
  </x:sheetPr>
  <x:sheetViews>
    <x:sheetView showGridLines="0" workbookViewId="0">
      <x:pane xSplit="3" ySplit="12" topLeftCell="D13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30" hidden="0" customWidth="1"/>
    <x:col min="4" max="4" width="18" hidden="0" customWidth="1"/>
    <x:col min="5" max="5" width="21" hidden="0" customWidth="1"/>
    <x:col min="6" max="6" width="18" hidden="0" customWidth="1"/>
    <x:col min="7" max="7" width="44" hidden="0" customWidth="1"/>
    <x:col min="8" max="8" width="44" hidden="0" customWidth="1"/>
    <x:col min="9" max="9" width="38" hidden="0" customWidth="1"/>
    <x:col min="10" max="10" width="44" hidden="0" customWidth="1"/>
  </x:cols>
  <x:sheetData>
    <x:row r="1" ht="26" customHeight="1">
      <x:c r="A1" s="29" t="str">
        <x:v>Aven independent audit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 ht="28" customHeight="1">
      <x:c r="A2" s="30" t="str">
        <x:v>Independent review of 115 source features on 16 September 2026, build ux-pipeline-v7. Verdicts are evidence-scoped. Partial can reflect incomplete acceptance coverage even where a local implementation exists.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31" t="str">
        <x:v>Verdict</x:v>
      </x:c>
      <x:c r="B4" s="31" t="str">
        <x:v>Count</x:v>
      </x:c>
      <x:c r="C4" s="17"/>
      <x:c r="D4" s="10" t="str">
        <x:v>Source and review context</x:v>
      </x:c>
      <x:c r="E4" s="10"/>
      <x:c r="F4" s="10"/>
      <x:c r="G4" s="10"/>
      <x:c r="H4" s="10"/>
      <x:c r="I4" s="10"/>
      <x:c r="J4" s="10"/>
    </x:row>
    <x:row r="5" ht="28" customHeight="1">
      <x:c r="A5" s="21" t="str">
        <x:v>Verified (scoped)</x:v>
      </x:c>
      <x:c r="B5" s="17" t="n">
        <x:f>COUNTIFS($E$13:$E$127,"Verified (scoped)")</x:f>
        <x:v>19</x:v>
      </x:c>
      <x:c r="C5" s="17"/>
      <x:c r="D5" s="12" t="str">
        <x:v>Source path</x:v>
      </x:c>
      <x:c r="E5" s="15" t="str">
        <x:v>C:\Users\vikasmit\Downloads\vikas problems\netrok-muse\outputs\01a0a3bc-a376-74e1-8d48-e4029c2cb5a2\Aven-UI-UX-Feature-Register.xlsx</x:v>
      </x:c>
      <x:c r="F5" s="15"/>
      <x:c r="G5" s="15"/>
      <x:c r="H5" s="15"/>
      <x:c r="I5" s="15"/>
      <x:c r="J5" s="15"/>
    </x:row>
    <x:row r="6" ht="28" customHeight="1">
      <x:c r="A6" s="21" t="str">
        <x:v>Partial</x:v>
      </x:c>
      <x:c r="B6" s="17" t="n">
        <x:f>COUNTIFS($E$13:$E$127,"Partial")</x:f>
        <x:v>67</x:v>
      </x:c>
      <x:c r="C6" s="17"/>
      <x:c r="D6" s="12" t="str">
        <x:v>Source SHA-256</x:v>
      </x:c>
      <x:c r="E6" s="15" t="str">
        <x:v>1d3070e0eb4a97772b219f11047aeeb2291cbbd2376ef5c2ba546dd2b5e0bef1</x:v>
      </x:c>
      <x:c r="F6" s="15"/>
      <x:c r="G6" s="15"/>
      <x:c r="H6" s="15"/>
      <x:c r="I6" s="15"/>
      <x:c r="J6" s="15"/>
    </x:row>
    <x:row r="7" ht="60" customHeight="1">
      <x:c r="A7" s="21" t="str">
        <x:v>Missing</x:v>
      </x:c>
      <x:c r="B7" s="17" t="n">
        <x:f>COUNTIFS($E$13:$E$127,"Missing")</x:f>
        <x:v>14</x:v>
      </x:c>
      <x:c r="C7" s="17"/>
      <x:c r="D7" s="12" t="str">
        <x:v>Summary</x:v>
      </x:c>
      <x:c r="E7" s="15" t="str">
        <x:v>Original register: 80 Verified, 10 Implemented, 21 Not started, 4 Deferred. The previous task explicitly acknowledged 31 local items still needed work.
Independent snapshot: 67 Partial; 19 Verified (scoped); 5 Defect; 6 Unverified; 14 Missing; 4 Deferred.
Original 80 Verified reassessed: 54 Partial; 19 Verified (scoped); 3 Defect; 4 Unverified.
4 distinct reproduced defects affect 5 feature rows. No fixes applied during this audit.</x:v>
      </x:c>
      <x:c r="F7" s="15"/>
      <x:c r="G7" s="15"/>
      <x:c r="H7" s="15"/>
      <x:c r="I7" s="15"/>
      <x:c r="J7" s="15"/>
    </x:row>
    <x:row r="8" ht="28" customHeight="1">
      <x:c r="A8" s="21" t="str">
        <x:v>Defect</x:v>
      </x:c>
      <x:c r="B8" s="17" t="n">
        <x:f>COUNTIFS($E$13:$E$127,"Defect")</x:f>
        <x:v>5</x:v>
      </x:c>
      <x:c r="C8" s="17"/>
      <x:c r="D8" s="12" t="str">
        <x:v>Methodology</x:v>
      </x:c>
      <x:c r="E8" s="15" t="str">
        <x:v>Detailed methodology appears below the audit table.</x:v>
      </x:c>
      <x:c r="F8" s="15"/>
      <x:c r="G8" s="15"/>
      <x:c r="H8" s="15"/>
      <x:c r="I8" s="15"/>
      <x:c r="J8" s="15"/>
    </x:row>
    <x:row r="9" ht="28" customHeight="1">
      <x:c r="A9" s="21" t="str">
        <x:v>Unverified</x:v>
      </x:c>
      <x:c r="B9" s="17" t="n">
        <x:f>COUNTIFS($E$13:$E$127,"Unverified")</x:f>
        <x:v>6</x:v>
      </x:c>
      <x:c r="C9" s="17"/>
      <x:c r="D9" s="12" t="str">
        <x:v>Limits</x:v>
      </x:c>
      <x:c r="E9" s="15" t="str">
        <x:v>Per-feature limitations appear in the Audit table.</x:v>
      </x:c>
      <x:c r="F9" s="15"/>
      <x:c r="G9" s="15"/>
      <x:c r="H9" s="15"/>
      <x:c r="I9" s="15"/>
      <x:c r="J9" s="15"/>
    </x:row>
    <x:row r="10" ht="28" customHeight="1">
      <x:c r="A10" s="21" t="str">
        <x:v>Deferred</x:v>
      </x:c>
      <x:c r="B10" s="17" t="n">
        <x:f>COUNTIFS($E$13:$E$127,"Deferred")</x:f>
        <x:v>4</x:v>
      </x:c>
      <x:c r="C10" s="17"/>
      <x:c r="D10" s="12" t="str">
        <x:v>Defects</x:v>
      </x:c>
      <x:c r="E10" s="15" t="str">
        <x:v>5 affected feature rows; 4 distinct defects</x:v>
      </x:c>
      <x:c r="F10" s="15"/>
      <x:c r="G10" s="15"/>
      <x:c r="H10" s="15"/>
      <x:c r="I10" s="15"/>
      <x:c r="J10" s="15"/>
    </x:row>
    <x:row r="11" ht="26" customHeight="1">
      <x:c r="A11" s="17"/>
      <x:c r="B11" s="17"/>
      <x:c r="C11" s="17"/>
      <x:c r="D11" s="12" t="str">
        <x:v>Tests</x:v>
      </x:c>
      <x:c r="E11" s="15" t="str">
        <x:v>Detailed test commands and results appear below the audit table.</x:v>
      </x:c>
      <x:c r="F11" s="15"/>
      <x:c r="G11" s="15"/>
      <x:c r="H11" s="15"/>
      <x:c r="I11" s="15"/>
      <x:c r="J11" s="15"/>
    </x:row>
    <x:row r="12" ht="34" customHeight="1">
      <x:c r="A12" s="26" t="str">
        <x:v>ID</x:v>
      </x:c>
      <x:c r="B12" s="26" t="str">
        <x:v>Area</x:v>
      </x:c>
      <x:c r="C12" s="26" t="str">
        <x:v>Feature</x:v>
      </x:c>
      <x:c r="D12" s="26" t="str">
        <x:v>Original Delivery</x:v>
      </x:c>
      <x:c r="E12" s="26" t="str">
        <x:v>Independent verdict</x:v>
      </x:c>
      <x:c r="F12" s="26" t="str">
        <x:v>Evidence level</x:v>
      </x:c>
      <x:c r="G12" s="26" t="str">
        <x:v>Finding / gap</x:v>
      </x:c>
      <x:c r="H12" s="26" t="str">
        <x:v>Next action</x:v>
      </x:c>
      <x:c r="I12" s="26" t="str">
        <x:v>Limitation</x:v>
      </x:c>
      <x:c r="J12" s="26" t="str">
        <x:v>Evidence refs</x:v>
      </x:c>
    </x:row>
    <x:row r="13" ht="49" customHeight="1">
      <x:c r="A13" s="34" t="str">
        <x:v>UX-001</x:v>
      </x:c>
      <x:c r="B13" s="32" t="str">
        <x:v>Basics</x:v>
      </x:c>
      <x:c r="C13" s="32" t="str">
        <x:v>Subtle scrollbars</x:v>
      </x:c>
      <x:c r="D13" s="32" t="str">
        <x:v>Verified</x:v>
      </x:c>
      <x:c r="E13" s="32" t="str">
        <x:v>Partial</x:v>
      </x:c>
      <x:c r="F13" s="32" t="str">
        <x:v>fresh+code</x:v>
      </x:c>
      <x:c r="G13" s="32" t="str">
        <x:v>Fresh checks covered scroll container geometry at 1440/1024/768/390px; CSS contains scroll-surface fade/wake behavior.</x:v>
      </x:c>
      <x:c r="H13" s="32" t="str">
        <x:v>Exercise mouse, keyboard, touch scroll and verify idle fade plus exact CLI whitespace.</x:v>
      </x:c>
      <x:c r="I13" s="32" t="str">
        <x:v>scrollHeight/viewport assertions do not demonstrate scrollbar reveal, fade timing, touch, keyboard, or exact CLI text.</x:v>
      </x:c>
      <x:c r="J13" s="32" t="str">
        <x:v>audit_001_040/fresh-evidence.json; polished.js:711-722; polished.css:451-460</x:v>
      </x:c>
    </x:row>
    <x:row r="14" ht="42" customHeight="1">
      <x:c r="A14" s="35" t="str">
        <x:v>UX-002</x:v>
      </x:c>
      <x:c r="B14" s="28" t="str">
        <x:v>Basics</x:v>
      </x:c>
      <x:c r="C14" s="28" t="str">
        <x:v>Contain horizontal overflow</x:v>
      </x:c>
      <x:c r="D14" s="28" t="str">
        <x:v>Verified</x:v>
      </x:c>
      <x:c r="E14" s="28" t="str">
        <x:v>Partial</x:v>
      </x:c>
      <x:c r="F14" s="28" t="str">
        <x:v>fresh+code</x:v>
      </x:c>
      <x:c r="G14" s="28" t="str">
        <x:v>Fresh checks found no horizontal page/sidebar overflow at four viewport widths.</x:v>
      </x:c>
      <x:c r="H14" s="28" t="str">
        <x:v>Run copy-exact long CLI line checks at desktop widths and inspect clipped code/raw output.</x:v>
      </x:c>
      <x:c r="I14" s="28" t="str">
        <x:v>copy-exact CLI behavior and all long-line rendering paths were not exercised.</x:v>
      </x:c>
      <x:c r="J14" s="28" t="str">
        <x:v>audit_001_040/fresh-evidence.json; polished.css:464-466</x:v>
      </x:c>
    </x:row>
    <x:row r="15" ht="42" customHeight="1">
      <x:c r="A15" s="36" t="str">
        <x:v>UX-003</x:v>
      </x:c>
      <x:c r="B15" s="33" t="str">
        <x:v>Basics</x:v>
      </x:c>
      <x:c r="C15" s="33" t="str">
        <x:v>Account entry</x:v>
      </x:c>
      <x:c r="D15" s="33" t="str">
        <x:v>Verified</x:v>
      </x:c>
      <x:c r="E15" s="33" t="str">
        <x:v>Verified (scoped)</x:v>
      </x:c>
      <x:c r="F15" s="33" t="str">
        <x:v>fresh</x:v>
      </x:c>
      <x:c r="G15" s="33" t="str">
        <x:v>Live account row has no caret; it opens the account menu. Fresh isolated keyboard access also passed.</x:v>
      </x:c>
      <x:c r="H15" s="33" t="str">
        <x:v>Retain regression coverage for keyboard access and the caret-free account entry.</x:v>
      </x:c>
      <x:c r="I15" s="33" t="str">
        <x:v>Verified in the inspected Chromium build; no broad assistive-technology certification.</x:v>
      </x:c>
      <x:c r="J15" s="33" t="str">
        <x:v>root-ui-observations.json; audit_001_040/fresh-evidence.json</x:v>
      </x:c>
    </x:row>
    <x:row r="16" ht="62" customHeight="1">
      <x:c r="A16" s="35" t="str">
        <x:v>UX-004</x:v>
      </x:c>
      <x:c r="B16" s="28" t="str">
        <x:v>Basics</x:v>
      </x:c>
      <x:c r="C16" s="28" t="str">
        <x:v>Selected profile identity</x:v>
      </x:c>
      <x:c r="D16" s="28" t="str">
        <x:v>Verified</x:v>
      </x:c>
      <x:c r="E16" s="28" t="str">
        <x:v>Partial</x:v>
      </x:c>
      <x:c r="F16" s="28" t="str">
        <x:v>fresh</x:v>
      </x:c>
      <x:c r="G16" s="28" t="str">
        <x:v>Initial selected coworker identity, profile fields and local document access were inspected. A short profile rename updated the selected sidebar name in a fixture.</x:v>
      </x:c>
      <x:c r="H16" s="28" t="str">
        <x:v>Verify profile rename synchronizes the header while leaving other coworkers unchanged.</x:v>
      </x:c>
      <x:c r="I16" s="28" t="str">
        <x:v>Header synchronization after profile rename and selected-coworker isolation were not asserted.</x:v>
      </x:c>
      <x:c r="J16" s="28" t="str">
        <x:v>root-ui-observations.json; audit_001_040/fresh-evidence.json; audit_041_079/history-settings.json</x:v>
      </x:c>
    </x:row>
    <x:row r="17" ht="42" customHeight="1">
      <x:c r="A17" s="36" t="str">
        <x:v>UX-005</x:v>
      </x:c>
      <x:c r="B17" s="33" t="str">
        <x:v>Basics</x:v>
      </x:c>
      <x:c r="C17" s="33" t="str">
        <x:v>Horizontal reaction panel</x:v>
      </x:c>
      <x:c r="D17" s="33" t="str">
        <x:v>Verified</x:v>
      </x:c>
      <x:c r="E17" s="33" t="str">
        <x:v>Partial</x:v>
      </x:c>
      <x:c r="F17" s="33" t="str">
        <x:v>fresh</x:v>
      </x:c>
      <x:c r="G17" s="33" t="str">
        <x:v>Reaction row opened from a rendered message in the isolated browser.</x:v>
      </x:c>
      <x:c r="H17" s="33" t="str">
        <x:v>Verify reference row geometry, keyboard activation, and clipping at narrow widths.</x:v>
      </x:c>
      <x:c r="I17" s="33" t="str">
        <x:v>Fresh check did not measure clipping or keyboard activation.</x:v>
      </x:c>
      <x:c r="J17" s="33" t="str">
        <x:v>audit_001_040/fresh-evidence.json; polished.js:341-365; polished.css:444-460</x:v>
      </x:c>
    </x:row>
    <x:row r="18" ht="49" customHeight="1">
      <x:c r="A18" s="35" t="str">
        <x:v>UX-006</x:v>
      </x:c>
      <x:c r="B18" s="28" t="str">
        <x:v>Basics</x:v>
      </x:c>
      <x:c r="C18" s="28" t="str">
        <x:v>One reaction per user</x:v>
      </x:c>
      <x:c r="D18" s="28" t="str">
        <x:v>Verified</x:v>
      </x:c>
      <x:c r="E18" s="28" t="str">
        <x:v>Verified (scoped)</x:v>
      </x:c>
      <x:c r="F18" s="28" t="str">
        <x:v>fresh</x:v>
      </x:c>
      <x:c r="G18" s="28" t="str">
        <x:v>Fresh fixtures demonstrated one selected reaction, replacement, clearing by selecting again, and persistence after reload.</x:v>
      </x:c>
      <x:c r="H18" s="28" t="str">
        <x:v>Retain replacement, clearing and reload regression checks; verify complete message preservation.</x:v>
      </x:c>
      <x:c r="I18" s="28" t="str">
        <x:v>Local isolated storage; cross-device reactions are not implemented.</x:v>
      </x:c>
      <x:c r="J18" s="28" t="str">
        <x:v>audit_001_040/fresh-evidence.json; audit_041_079/messages.json; audit_041_079/audit.cjs</x:v>
      </x:c>
    </x:row>
    <x:row r="19" ht="49" customHeight="1">
      <x:c r="A19" s="36" t="str">
        <x:v>UX-007</x:v>
      </x:c>
      <x:c r="B19" s="33" t="str">
        <x:v>Navigation</x:v>
      </x:c>
      <x:c r="C19" s="33" t="str">
        <x:v>Coworker-first entry</x:v>
      </x:c>
      <x:c r="D19" s="33" t="str">
        <x:v>Verified</x:v>
      </x:c>
      <x:c r="E19" s="33" t="str">
        <x:v>Partial</x:v>
      </x:c>
      <x:c r="F19" s="33" t="str">
        <x:v>fresh</x:v>
      </x:c>
      <x:c r="G19" s="33" t="str">
        <x:v>A new user can enter a named conversation directly from the initial surface.</x:v>
      </x:c>
      <x:c r="H19" s="33" t="str">
        <x:v>Exercise new conversation, existing chats, drafts, queues, and avatar access from the same entry path.</x:v>
      </x:c>
      <x:c r="I19" s="33" t="str">
        <x:v>The full coworker-first breadth of entry points was not exercised.</x:v>
      </x:c>
      <x:c r="J19" s="33" t="str">
        <x:v>audit_001_040/fresh-evidence.json; polished.html:50-70; polished.js:487-496</x:v>
      </x:c>
    </x:row>
    <x:row r="20" ht="49" customHeight="1">
      <x:c r="A20" s="35" t="str">
        <x:v>UX-008</x:v>
      </x:c>
      <x:c r="B20" s="28" t="str">
        <x:v>Navigation</x:v>
      </x:c>
      <x:c r="C20" s="28" t="str">
        <x:v>Stable conversation header</x:v>
      </x:c>
      <x:c r="D20" s="28" t="str">
        <x:v>Verified</x:v>
      </x:c>
      <x:c r="E20" s="28" t="str">
        <x:v>Partial</x:v>
      </x:c>
      <x:c r="F20" s="28" t="str">
        <x:v>fresh</x:v>
      </x:c>
      <x:c r="G20" s="28" t="str">
        <x:v>Initial direct-chat header retains the coworker identity, but Rename conversation temporarily replaces it with the conversation title (UX-011).</x:v>
      </x:c>
      <x:c r="H20" s="28" t="str">
        <x:v>Fix the shared header refresh path in UX-011, then retest short messages and rename/navigation together.</x:v>
      </x:c>
      <x:c r="I20" s="28" t="str">
        <x:v>Initial render passed; the related rename path has a confirmed defect.</x:v>
      </x:c>
      <x:c r="J20" s="28" t="str">
        <x:v>audit_001_040/fresh-evidence.json; polished.js:487-496</x:v>
      </x:c>
    </x:row>
    <x:row r="21" ht="49" customHeight="1">
      <x:c r="A21" s="36" t="str">
        <x:v>UX-009</x:v>
      </x:c>
      <x:c r="B21" s="33" t="str">
        <x:v>Navigation</x:v>
      </x:c>
      <x:c r="C21" s="33" t="str">
        <x:v>Sidebar previews</x:v>
      </x:c>
      <x:c r="D21" s="33" t="str">
        <x:v>Verified</x:v>
      </x:c>
      <x:c r="E21" s="33" t="str">
        <x:v>Partial</x:v>
      </x:c>
      <x:c r="F21" s="33" t="str">
        <x:v>fresh+code</x:v>
      </x:c>
      <x:c r="G21" s="33" t="str">
        <x:v>Sidebar preview reduced markdown table/code-fence syntax to a compact text preview.</x:v>
      </x:c>
      <x:c r="H21" s="33" t="str">
        <x:v>Open the full-title affordance and verify very long titles/previews remain accessible at narrow widths.</x:v>
      </x:c>
      <x:c r="I21" s="33" t="str">
        <x:v>Full-title access and all row-size extremes were not exercised.</x:v>
      </x:c>
      <x:c r="J21" s="33" t="str">
        <x:v>audit_001_040/fresh-evidence.json; polished.js:204-205,498-537</x:v>
      </x:c>
    </x:row>
    <x:row r="22" ht="42" customHeight="1">
      <x:c r="A22" s="35" t="str">
        <x:v>UX-010</x:v>
      </x:c>
      <x:c r="B22" s="28" t="str">
        <x:v>Navigation</x:v>
      </x:c>
      <x:c r="C22" s="28" t="str">
        <x:v>Pin important conversations</x:v>
      </x:c>
      <x:c r="D22" s="28" t="str">
        <x:v>Verified</x:v>
      </x:c>
      <x:c r="E22" s="28" t="str">
        <x:v>Partial</x:v>
      </x:c>
      <x:c r="F22" s="28" t="str">
        <x:v>fresh</x:v>
      </x:c>
      <x:c r="G22" s="28" t="str">
        <x:v>One conversation could be pinned and remained pinned after reload.</x:v>
      </x:c>
      <x:c r="H22" s="28" t="str">
        <x:v>Test multiple pinned conversations, ordering, and unpin/reload transitions.</x:v>
      </x:c>
      <x:c r="I22" s="28" t="str">
        <x:v>Ordering with multiple pinned items was not demonstrated.</x:v>
      </x:c>
      <x:c r="J22" s="28" t="str">
        <x:v>audit_001_040/fresh-evidence.json; polished.js:774-804</x:v>
      </x:c>
    </x:row>
    <x:row r="23" ht="62" customHeight="1">
      <x:c r="A23" s="36" t="str">
        <x:v>UX-011</x:v>
      </x:c>
      <x:c r="B23" s="33" t="str">
        <x:v>Navigation</x:v>
      </x:c>
      <x:c r="C23" s="33" t="str">
        <x:v>Rename conversations</x:v>
      </x:c>
      <x:c r="D23" s="33" t="str">
        <x:v>Verified</x:v>
      </x:c>
      <x:c r="E23" s="33" t="str">
        <x:v>Defect</x:v>
      </x:c>
      <x:c r="F23" s="33" t="str">
        <x:v>fresh+code</x:v>
      </x:c>
      <x:c r="G23" s="33" t="str">
        <x:v>Renaming a direct conversation temporarily replaces the coworker identity in its header with the conversation title. The stored coworker name is not changed.</x:v>
      </x:c>
      <x:c r="H23" s="33" t="str">
        <x:v>Render direct-chat headers from coworker identity after rename, consistent with showChat; test rename then navigation/reload.</x:v>
      </x:c>
      <x:c r="I23" s="33" t="str">
        <x:v>Presentation/state consistency defect; no evidence of persisted coworker-name corruption.</x:v>
      </x:c>
      <x:c r="J23" s="33" t="str">
        <x:v>audit_001_040/fresh-evidence.json (failed UX-011); polished.js:766-767</x:v>
      </x:c>
    </x:row>
    <x:row r="24" ht="42" customHeight="1">
      <x:c r="A24" s="35" t="str">
        <x:v>UX-012</x:v>
      </x:c>
      <x:c r="B24" s="28" t="str">
        <x:v>Navigation</x:v>
      </x:c>
      <x:c r="C24" s="28" t="str">
        <x:v>Sections and ordering</x:v>
      </x:c>
      <x:c r="D24" s="28" t="str">
        <x:v>Verified</x:v>
      </x:c>
      <x:c r="E24" s="28" t="str">
        <x:v>Partial</x:v>
      </x:c>
      <x:c r="F24" s="28" t="str">
        <x:v>fresh+code</x:v>
      </x:c>
      <x:c r="G24" s="28" t="str">
        <x:v>The sidebar presents direct chats and conversations as distinct grouped entries.</x:v>
      </x:c>
      <x:c r="H24" s="28" t="str">
        <x:v>Verify grouping cannot imply coordinated execution and that old histories remain discoverable.</x:v>
      </x:c>
      <x:c r="I24" s="28" t="str">
        <x:v>No exhaustive old-history or execution-implication interaction was run.</x:v>
      </x:c>
      <x:c r="J24" s="28" t="str">
        <x:v>audit_001_040/fresh-evidence.json; polished.js:774-804</x:v>
      </x:c>
    </x:row>
    <x:row r="25" ht="42" customHeight="1">
      <x:c r="A25" s="36" t="str">
        <x:v>UX-013</x:v>
      </x:c>
      <x:c r="B25" s="33" t="str">
        <x:v>Navigation</x:v>
      </x:c>
      <x:c r="C25" s="33" t="str">
        <x:v>Sidebar collapse and resize</x:v>
      </x:c>
      <x:c r="D25" s="33" t="str">
        <x:v>Verified</x:v>
      </x:c>
      <x:c r="E25" s="33" t="str">
        <x:v>Partial</x:v>
      </x:c>
      <x:c r="F25" s="33" t="str">
        <x:v>fresh</x:v>
      </x:c>
      <x:c r="G25" s="33" t="str">
        <x:v>Fresh check collapsed the rail while leaving the active chat surface present.</x:v>
      </x:c>
      <x:c r="H25" s="33" t="str">
        <x:v>Exercise resize widths and type/send in the composer while collapsed.</x:v>
      </x:c>
      <x:c r="I25" s="33" t="str">
        <x:v>Resize and composer usability while collapsed were not demonstrated.</x:v>
      </x:c>
      <x:c r="J25" s="33" t="str">
        <x:v>audit_001_040/fresh-evidence.json; polished.js:596-610; polished.css:79-90,215-230</x:v>
      </x:c>
    </x:row>
    <x:row r="26" ht="49" customHeight="1">
      <x:c r="A26" s="35" t="str">
        <x:v>UX-014</x:v>
      </x:c>
      <x:c r="B26" s="28" t="str">
        <x:v>Navigation</x:v>
      </x:c>
      <x:c r="C26" s="28" t="str">
        <x:v>Back and forward navigation</x:v>
      </x:c>
      <x:c r="D26" s="28" t="str">
        <x:v>Verified</x:v>
      </x:c>
      <x:c r="E26" s="28" t="str">
        <x:v>Partial</x:v>
      </x:c>
      <x:c r="F26" s="28" t="str">
        <x:v>fresh</x:v>
      </x:c>
      <x:c r="G26" s="28" t="str">
        <x:v>Back navigation returned to the prior chat with its draft, and forward navigation remained available in the corrected rerun.</x:v>
      </x:c>
      <x:c r="H26" s="28" t="str">
        <x:v>Verify browser back/forward never drops drafts or starts a request across more navigation sequences.</x:v>
      </x:c>
      <x:c r="I26" s="28" t="str">
        <x:v>The run used one short sequence and did not prove execution non-duplication under navigation.</x:v>
      </x:c>
      <x:c r="J26" s="28" t="str">
        <x:v>audit_001_040/fresh-evidence.json; polished.js:86-96,761-767</x:v>
      </x:c>
    </x:row>
    <x:row r="27" ht="42" customHeight="1">
      <x:c r="A27" s="36" t="str">
        <x:v>UX-015</x:v>
      </x:c>
      <x:c r="B27" s="33" t="str">
        <x:v>Search</x:v>
      </x:c>
      <x:c r="C27" s="33" t="str">
        <x:v>Workspace search</x:v>
      </x:c>
      <x:c r="D27" s="33" t="str">
        <x:v>Verified</x:v>
      </x:c>
      <x:c r="E27" s="33" t="str">
        <x:v>Partial</x:v>
      </x:c>
      <x:c r="F27" s="33" t="str">
        <x:v>fresh</x:v>
      </x:c>
      <x:c r="G27" s="33" t="str">
        <x:v>Workspace search returned the known saved phrase in the expected conversation result.</x:v>
      </x:c>
      <x:c r="H27" s="33" t="str">
        <x:v>Open the result and verify exact conversation context and keyboard navigation.</x:v>
      </x:c>
      <x:c r="I27" s="33" t="str">
        <x:v>Result activation/context verification was not included.</x:v>
      </x:c>
      <x:c r="J27" s="33" t="str">
        <x:v>audit_001_040/fresh-evidence.json; polished.js:812-841</x:v>
      </x:c>
    </x:row>
    <x:row r="28" ht="42" customHeight="1">
      <x:c r="A28" s="35" t="str">
        <x:v>UX-016</x:v>
      </x:c>
      <x:c r="B28" s="28" t="str">
        <x:v>Search</x:v>
      </x:c>
      <x:c r="C28" s="28" t="str">
        <x:v>Search filters and results</x:v>
      </x:c>
      <x:c r="D28" s="28" t="str">
        <x:v>Verified</x:v>
      </x:c>
      <x:c r="E28" s="28" t="str">
        <x:v>Partial</x:v>
      </x:c>
      <x:c r="F28" s="28" t="str">
        <x:v>fresh</x:v>
      </x:c>
      <x:c r="G28" s="28" t="str">
        <x:v>Coworker filtering returned the matching coworker result in the isolated workspace search.</x:v>
      </x:c>
      <x:c r="H28" s="28" t="str">
        <x:v>Exercise conversation filtering and assert exact result context for duplicate terms.</x:v>
      </x:c>
      <x:c r="I28" s="28" t="str">
        <x:v>Conversation filter and duplicate-result disambiguation were not tested.</x:v>
      </x:c>
      <x:c r="J28" s="28" t="str">
        <x:v>audit_001_040/fresh-evidence.json; polished.js:812-841</x:v>
      </x:c>
    </x:row>
    <x:row r="29" ht="49" customHeight="1">
      <x:c r="A29" s="36" t="str">
        <x:v>UX-017</x:v>
      </x:c>
      <x:c r="B29" s="33" t="str">
        <x:v>Search</x:v>
      </x:c>
      <x:c r="C29" s="33" t="str">
        <x:v>Find within conversation</x:v>
      </x:c>
      <x:c r="D29" s="33" t="str">
        <x:v>Verified</x:v>
      </x:c>
      <x:c r="E29" s="33" t="str">
        <x:v>Partial</x:v>
      </x:c>
      <x:c r="F29" s="33" t="str">
        <x:v>fresh+code</x:v>
      </x:c>
      <x:c r="G29" s="33" t="str">
        <x:v>Repeated-term find counted the expected matches while preserving the draft in the corrected harness.</x:v>
      </x:c>
      <x:c r="H29" s="33" t="str">
        <x:v>Visit every match with next/previous controls and verify selection/focus stays in the conversation.</x:v>
      </x:c>
      <x:c r="I29" s="33" t="str">
        <x:v>The fresh assertion counted matches; it did not complete every visit or focus transition.</x:v>
      </x:c>
      <x:c r="J29" s="33" t="str">
        <x:v>audit_001_040/fresh-evidence.json; polished.js:168-203</x:v>
      </x:c>
    </x:row>
    <x:row r="30" ht="42" customHeight="1">
      <x:c r="A30" s="35" t="str">
        <x:v>UX-018</x:v>
      </x:c>
      <x:c r="B30" s="28" t="str">
        <x:v>Search</x:v>
      </x:c>
      <x:c r="C30" s="28" t="str">
        <x:v>Command palette</x:v>
      </x:c>
      <x:c r="D30" s="28" t="str">
        <x:v>Verified</x:v>
      </x:c>
      <x:c r="E30" s="28" t="str">
        <x:v>Partial</x:v>
      </x:c>
      <x:c r="F30" s="28" t="str">
        <x:v>fresh</x:v>
      </x:c>
      <x:c r="G30" s="28" t="str">
        <x:v>Escape from the command palette restored focus to its opener in the corrected rerun.</x:v>
      </x:c>
      <x:c r="H30" s="28" t="str">
        <x:v>Invoke a selected action in the current chat and test keyboard traversal of the palette.</x:v>
      </x:c>
      <x:c r="I30" s="28" t="str">
        <x:v>Action execution and complete keyboard traversal were not exercised.</x:v>
      </x:c>
      <x:c r="J30" s="28" t="str">
        <x:v>audit_001_040/fresh-evidence.json; polished.js:207-255</x:v>
      </x:c>
    </x:row>
    <x:row r="31" ht="49" customHeight="1">
      <x:c r="A31" s="36" t="str">
        <x:v>UX-019</x:v>
      </x:c>
      <x:c r="B31" s="33" t="str">
        <x:v>Composer</x:v>
      </x:c>
      <x:c r="C31" s="33" t="str">
        <x:v>Multiline input and send</x:v>
      </x:c>
      <x:c r="D31" s="33" t="str">
        <x:v>Verified</x:v>
      </x:c>
      <x:c r="E31" s="33" t="str">
        <x:v>Partial</x:v>
      </x:c>
      <x:c r="F31" s="33" t="str">
        <x:v>fresh</x:v>
      </x:c>
      <x:c r="G31" s="33" t="str">
        <x:v>Empty send was disabled and multiline text could be entered/sent without an extra request in the controlled fixture.</x:v>
      </x:c>
      <x:c r="H31" s="33" t="str">
        <x:v>Run a real IME composition sequence and verify Enter behavior during composition.</x:v>
      </x:c>
      <x:c r="I31" s="33" t="str">
        <x:v>IME composition was not simulated.</x:v>
      </x:c>
      <x:c r="J31" s="33" t="str">
        <x:v>audit_001_040/fresh-evidence.json; polished.html:71-99; polished.js:538-543</x:v>
      </x:c>
    </x:row>
    <x:row r="32" ht="49" customHeight="1">
      <x:c r="A32" s="35" t="str">
        <x:v>UX-020</x:v>
      </x:c>
      <x:c r="B32" s="28" t="str">
        <x:v>Composer</x:v>
      </x:c>
      <x:c r="C32" s="28" t="str">
        <x:v>Draft preservation</x:v>
      </x:c>
      <x:c r="D32" s="28" t="str">
        <x:v>Verified</x:v>
      </x:c>
      <x:c r="E32" s="28" t="str">
        <x:v>Unverified</x:v>
      </x:c>
      <x:c r="F32" s="28" t="str">
        <x:v>code-only</x:v>
      </x:c>
      <x:c r="G32" s="28" t="str">
        <x:v>Draft retention code exists for chat navigation and persistence, but the two-chat switch/reload acceptance was not freshly exercised.</x:v>
      </x:c>
      <x:c r="H32" s="28" t="str">
        <x:v>Create distinct unsent drafts in two chats, switch repeatedly, reload, and compare exact text.</x:v>
      </x:c>
      <x:c r="I32" s="28" t="str">
        <x:v>No fresh end-to-end evidence for independent drafts.</x:v>
      </x:c>
      <x:c r="J32" s="28" t="str">
        <x:v>polished.js:498-537,791-804; audit_001_040/fresh-evidence.json (no UX-020 scenario)</x:v>
      </x:c>
    </x:row>
    <x:row r="33" ht="49" customHeight="1">
      <x:c r="A33" s="36" t="str">
        <x:v>UX-021</x:v>
      </x:c>
      <x:c r="B33" s="33" t="str">
        <x:v>Composer</x:v>
      </x:c>
      <x:c r="C33" s="33" t="str">
        <x:v>Attachment selection and removal</x:v>
      </x:c>
      <x:c r="D33" s="33" t="str">
        <x:v>Verified</x:v>
      </x:c>
      <x:c r="E33" s="33" t="str">
        <x:v>Partial</x:v>
      </x:c>
      <x:c r="F33" s="33" t="str">
        <x:v>fresh</x:v>
      </x:c>
      <x:c r="G33" s="33" t="str">
        <x:v>Supported file selection produced a labeled attachment-ready state.</x:v>
      </x:c>
      <x:c r="H33" s="33" t="str">
        <x:v>Send the attachment through the mock backend and assert its contents reach model context; test unsupported labeling before send.</x:v>
      </x:c>
      <x:c r="I33" s="33" t="str">
        <x:v>Fresh check did not inspect request context or unsupported-file pre-send behavior.</x:v>
      </x:c>
      <x:c r="J33" s="33" t="str">
        <x:v>audit_001_040/fresh-evidence.json; polished.js:648-652</x:v>
      </x:c>
    </x:row>
    <x:row r="34" ht="49" customHeight="1">
      <x:c r="A34" s="35" t="str">
        <x:v>UX-022</x:v>
      </x:c>
      <x:c r="B34" s="28" t="str">
        <x:v>Composer</x:v>
      </x:c>
      <x:c r="C34" s="28" t="str">
        <x:v>Drag-drop and clipboard files</x:v>
      </x:c>
      <x:c r="D34" s="28" t="str">
        <x:v>Verified</x:v>
      </x:c>
      <x:c r="E34" s="28" t="str">
        <x:v>Partial</x:v>
      </x:c>
      <x:c r="F34" s="28" t="str">
        <x:v>fresh</x:v>
      </x:c>
      <x:c r="G34" s="28" t="str">
        <x:v>Unsupported selection was rejected while a valid selection could be recovered in the isolated fixture.</x:v>
      </x:c>
      <x:c r="H34" s="28" t="str">
        <x:v>Exercise one-file drag/drop and clipboard paste, then invalid-type recovery without duplicate attachments.</x:v>
      </x:c>
      <x:c r="I34" s="28" t="str">
        <x:v>Drag/drop and clipboard paths were not exercised.</x:v>
      </x:c>
      <x:c r="J34" s="28" t="str">
        <x:v>audit_001_040/fresh-evidence.json; polished.js:648-652</x:v>
      </x:c>
    </x:row>
    <x:row r="35" ht="49" customHeight="1">
      <x:c r="A35" s="36" t="str">
        <x:v>UX-023</x:v>
      </x:c>
      <x:c r="B35" s="33" t="str">
        <x:v>Composer</x:v>
      </x:c>
      <x:c r="C35" s="33" t="str">
        <x:v>File or device mentions</x:v>
      </x:c>
      <x:c r="D35" s="33" t="str">
        <x:v>Not started</x:v>
      </x:c>
      <x:c r="E35" s="33" t="str">
        <x:v>Missing</x:v>
      </x:c>
      <x:c r="F35" s="33" t="str">
        <x:v>code-only</x:v>
      </x:c>
      <x:c r="G35" s="33" t="str">
        <x:v>No stable file/device mention resolver or unavailable-device filtering is implemented in the current UI path.</x:v>
      </x:c>
      <x:c r="H35" s="33" t="str">
        <x:v>Implement and test stable IDs plus disconnected-device handling behind the mock boundary.</x:v>
      </x:c>
      <x:c r="I35" s="33" t="str">
        <x:v>No provider, device, or credential calls were made by this audit.</x:v>
      </x:c>
      <x:c r="J35" s="33" t="str">
        <x:v>polished.js:213-265,408-437; audit_001_040/fresh-evidence.json (no mention scenario)</x:v>
      </x:c>
    </x:row>
    <x:row r="36" ht="42" customHeight="1">
      <x:c r="A36" s="35" t="str">
        <x:v>UX-024</x:v>
      </x:c>
      <x:c r="B36" s="28" t="str">
        <x:v>Composer</x:v>
      </x:c>
      <x:c r="C36" s="28" t="str">
        <x:v>Reply to a message</x:v>
      </x:c>
      <x:c r="D36" s="28" t="str">
        <x:v>Verified</x:v>
      </x:c>
      <x:c r="E36" s="28" t="str">
        <x:v>Verified (scoped)</x:v>
      </x:c>
      <x:c r="F36" s="28" t="str">
        <x:v>fresh</x:v>
      </x:c>
      <x:c r="G36" s="28" t="str">
        <x:v>Reply-to-message identified the source and cancel removed the reference while retaining the draft.</x:v>
      </x:c>
      <x:c r="H36" s="28" t="str">
        <x:v>Retain this check and add keyboard/source rendering coverage if the reply UI changes.</x:v>
      </x:c>
      <x:c r="I36" s="28" t="str">
        <x:v>Verified the tested single-message mouse path.</x:v>
      </x:c>
      <x:c r="J36" s="28" t="str">
        <x:v>audit_001_040/fresh-evidence.json; polished.js:152-166</x:v>
      </x:c>
    </x:row>
    <x:row r="37" ht="49" customHeight="1">
      <x:c r="A37" s="36" t="str">
        <x:v>UX-025</x:v>
      </x:c>
      <x:c r="B37" s="33" t="str">
        <x:v>Composer</x:v>
      </x:c>
      <x:c r="C37" s="33" t="str">
        <x:v>Edit and resend a prompt</x:v>
      </x:c>
      <x:c r="D37" s="33" t="str">
        <x:v>Verified</x:v>
      </x:c>
      <x:c r="E37" s="33" t="str">
        <x:v>Partial</x:v>
      </x:c>
      <x:c r="F37" s="33" t="str">
        <x:v>fresh+code</x:v>
      </x:c>
      <x:c r="G37" s="33" t="str">
        <x:v>Edit/resend opened a reviewable dialog and the edited text was present in the controlled request payload.</x:v>
      </x:c>
      <x:c r="H37" s="33" t="str">
        <x:v>Test edited prior messages that contain device commands and verify no prior command is silently repeated or reversed.</x:v>
      </x:c>
      <x:c r="I37" s="33" t="str">
        <x:v>No device command execution was permitted or tested.</x:v>
      </x:c>
      <x:c r="J37" s="33" t="str">
        <x:v>audit_001_040/fresh-evidence.json; polished.js:394-408</x:v>
      </x:c>
    </x:row>
    <x:row r="38" ht="49" customHeight="1">
      <x:c r="A38" s="35" t="str">
        <x:v>UX-026</x:v>
      </x:c>
      <x:c r="B38" s="28" t="str">
        <x:v>Composer</x:v>
      </x:c>
      <x:c r="C38" s="28" t="str">
        <x:v>Voice dictation</x:v>
      </x:c>
      <x:c r="D38" s="28" t="str">
        <x:v>Not started</x:v>
      </x:c>
      <x:c r="E38" s="28" t="str">
        <x:v>Missing</x:v>
      </x:c>
      <x:c r="F38" s="28" t="str">
        <x:v>code-only</x:v>
      </x:c>
      <x:c r="G38" s="28" t="str">
        <x:v>No voice dictation implementation or editable transcript path was found.</x:v>
      </x:c>
      <x:c r="H38" s="28" t="str">
        <x:v>Add a mocked recording/transcript flow with cancel and edit states.</x:v>
      </x:c>
      <x:c r="I38" s="28" t="str">
        <x:v>Microphone/device APIs were intentionally not called.</x:v>
      </x:c>
      <x:c r="J38" s="28" t="str">
        <x:v>polished.html:71-99; polished.js:538-543 (no SpeechRecognition/getUserMedia path); audit_001_040/fresh-evidence.json</x:v>
      </x:c>
    </x:row>
    <x:row r="39" ht="49" customHeight="1">
      <x:c r="A39" s="36" t="str">
        <x:v>UX-027</x:v>
      </x:c>
      <x:c r="B39" s="33" t="str">
        <x:v>Composer</x:v>
      </x:c>
      <x:c r="C39" s="33" t="str">
        <x:v>Model and effort picker</x:v>
      </x:c>
      <x:c r="D39" s="33" t="str">
        <x:v>Not started</x:v>
      </x:c>
      <x:c r="E39" s="33" t="str">
        <x:v>Missing</x:v>
      </x:c>
      <x:c r="F39" s="33" t="str">
        <x:v>code-only</x:v>
      </x:c>
      <x:c r="G39" s="33" t="str">
        <x:v>The composer exposes a fixed model note and send flow; no model/effort picker or request/response provenance selection is implemented.</x:v>
      </x:c>
      <x:c r="H39" s="33" t="str">
        <x:v>Add picker state and assert selected model/effort plus response provenance in mock requests.</x:v>
      </x:c>
      <x:c r="I39" s="33" t="str">
        <x:v>No real provider call was attempted.</x:v>
      </x:c>
      <x:c r="J39" s="33" t="str">
        <x:v>polished.html:90; polished.js:24,538-543; audit_001_040/fresh-evidence.json (no picker scenario)</x:v>
      </x:c>
    </x:row>
    <x:row r="40" ht="49" customHeight="1">
      <x:c r="A40" s="35" t="str">
        <x:v>UX-028</x:v>
      </x:c>
      <x:c r="B40" s="28" t="str">
        <x:v>Execution</x:v>
      </x:c>
      <x:c r="C40" s="28" t="str">
        <x:v>Streamed response and activity</x:v>
      </x:c>
      <x:c r="D40" s="28" t="str">
        <x:v>Verified</x:v>
      </x:c>
      <x:c r="E40" s="28" t="str">
        <x:v>Verified (scoped)</x:v>
      </x:c>
      <x:c r="F40" s="28" t="str">
        <x:v>fresh+code</x:v>
      </x:c>
      <x:c r="G40" s="28" t="str">
        <x:v>A backend-shaped streamed fixture rendered one final response with one activity/evidence panel and terminal output, without duplicate final text.</x:v>
      </x:c>
      <x:c r="H40" s="28" t="str">
        <x:v>Add failure/end ordering and repeated-stream reconnection cases.</x:v>
      </x:c>
      <x:c r="I40" s="28" t="str">
        <x:v>The stream was locally fulfilled; provider behavior and reconnects were not tested.</x:v>
      </x:c>
      <x:c r="J40" s="28" t="str">
        <x:v>audit_001_040/fresh-evidence.json; intentgraph/server.cjs:261-293; polished.js:653-670</x:v>
      </x:c>
    </x:row>
    <x:row r="41" ht="49" customHeight="1">
      <x:c r="A41" s="36" t="str">
        <x:v>UX-029</x:v>
      </x:c>
      <x:c r="B41" s="33" t="str">
        <x:v>Execution</x:v>
      </x:c>
      <x:c r="C41" s="33" t="str">
        <x:v>Stop a running request</x:v>
      </x:c>
      <x:c r="D41" s="33" t="str">
        <x:v>Verified</x:v>
      </x:c>
      <x:c r="E41" s="33" t="str">
        <x:v>Verified (scoped)</x:v>
      </x:c>
      <x:c r="F41" s="33" t="str">
        <x:v>fresh+code</x:v>
      </x:c>
      <x:c r="G41" s="33" t="str">
        <x:v>Stop against the controlled running fixture left the run incomplete/UNKNOWN rather than claiming completion.</x:v>
      </x:c>
      <x:c r="H41" s="33" t="str">
        <x:v>Keep cancellation-state regression coverage and add interrupted-tool evidence cases.</x:v>
      </x:c>
      <x:c r="I41" s="33" t="str">
        <x:v>No real remote request or device command was stopped.</x:v>
      </x:c>
      <x:c r="J41" s="33" t="str">
        <x:v>audit_001_040/fresh-evidence.json; polished.js:452-462; polished-run-state.js:1-80</x:v>
      </x:c>
    </x:row>
    <x:row r="42" ht="42" customHeight="1">
      <x:c r="A42" s="35" t="str">
        <x:v>UX-030</x:v>
      </x:c>
      <x:c r="B42" s="28" t="str">
        <x:v>Execution</x:v>
      </x:c>
      <x:c r="C42" s="28" t="str">
        <x:v>Queue follow-up messages</x:v>
      </x:c>
      <x:c r="D42" s="28" t="str">
        <x:v>Verified</x:v>
      </x:c>
      <x:c r="E42" s="28" t="str">
        <x:v>Partial</x:v>
      </x:c>
      <x:c r="F42" s="28" t="str">
        <x:v>fresh</x:v>
      </x:c>
      <x:c r="G42" s="28" t="str">
        <x:v>A queued follow-up remained visible after reload in the isolated browser.</x:v>
      </x:c>
      <x:c r="H42" s="28" t="str">
        <x:v>Dispatch two queued follow-ups and assert FIFO order with exactly-once submission.</x:v>
      </x:c>
      <x:c r="I42" s="28" t="str">
        <x:v>Order and duplicate-submission behavior were not freshly exercised.</x:v>
      </x:c>
      <x:c r="J42" s="28" t="str">
        <x:v>audit_001_040/fresh-evidence.json; polished.js:498-537</x:v>
      </x:c>
    </x:row>
    <x:row r="43" ht="42" customHeight="1">
      <x:c r="A43" s="36" t="str">
        <x:v>UX-031</x:v>
      </x:c>
      <x:c r="B43" s="33" t="str">
        <x:v>Execution</x:v>
      </x:c>
      <x:c r="C43" s="33" t="str">
        <x:v>Queue edit, remove and resume</x:v>
      </x:c>
      <x:c r="D43" s="33" t="str">
        <x:v>Verified</x:v>
      </x:c>
      <x:c r="E43" s="33" t="str">
        <x:v>Partial</x:v>
      </x:c>
      <x:c r="F43" s="33" t="str">
        <x:v>fresh</x:v>
      </x:c>
      <x:c r="G43" s="33" t="str">
        <x:v>Queue edit and remove operations updated the selected item in the corrected rerun.</x:v>
      </x:c>
      <x:c r="H43" s="33" t="str">
        <x:v>Reload and intentionally resume a queued item, asserting only the selected item dispatches once.</x:v>
      </x:c>
      <x:c r="I43" s="33" t="str">
        <x:v>Resume and exactly-once dispatch were not tested.</x:v>
      </x:c>
      <x:c r="J43" s="33" t="str">
        <x:v>audit_001_040/fresh-evidence.json; polished.js:498-537</x:v>
      </x:c>
    </x:row>
    <x:row r="44" ht="62" customHeight="1">
      <x:c r="A44" s="35" t="str">
        <x:v>UX-032</x:v>
      </x:c>
      <x:c r="B44" s="28" t="str">
        <x:v>Execution</x:v>
      </x:c>
      <x:c r="C44" s="28" t="str">
        <x:v>Steer the next step</x:v>
      </x:c>
      <x:c r="D44" s="28" t="str">
        <x:v>Verified</x:v>
      </x:c>
      <x:c r="E44" s="28" t="str">
        <x:v>Partial</x:v>
      </x:c>
      <x:c r="F44" s="28" t="str">
        <x:v>fresh+code</x:v>
      </x:c>
      <x:c r="G44" s="28" t="str">
        <x:v>Fresh unit tests verified steering authorization, before-model application, and one-time drain; the UI correction-before-next-tool path was not exercised.</x:v>
      </x:c>
      <x:c r="H44" s="28" t="str">
        <x:v>Drive a UI steering correction while a mock run pauses before its next tool and assert no duplicate run.</x:v>
      </x:c>
      <x:c r="I44" s="28" t="str">
        <x:v>Unit coverage does not prove the browser UI flow.</x:v>
      </x:c>
      <x:c r="J44" s="28" t="str">
        <x:v>audit_001_040/fresh-evidence.json; intentgraph/server.cjs:219-243; polished.js:671-685; steering.test.cjs</x:v>
      </x:c>
    </x:row>
    <x:row r="45" ht="49" customHeight="1">
      <x:c r="A45" s="36" t="str">
        <x:v>UX-033</x:v>
      </x:c>
      <x:c r="B45" s="33" t="str">
        <x:v>Execution</x:v>
      </x:c>
      <x:c r="C45" s="33" t="str">
        <x:v>Clarification and approval cards</x:v>
      </x:c>
      <x:c r="D45" s="33" t="str">
        <x:v>Not started</x:v>
      </x:c>
      <x:c r="E45" s="33" t="str">
        <x:v>Missing</x:v>
      </x:c>
      <x:c r="F45" s="33" t="str">
        <x:v>code-only</x:v>
      </x:c>
      <x:c r="G45" s="33" t="str">
        <x:v>No clarification/approval card renderer or stale-card authorization guard is present in the current UI path.</x:v>
      </x:c>
      <x:c r="H45" s="33" t="str">
        <x:v>Add one-pending-question card mapping and stale-token rejection tests.</x:v>
      </x:c>
      <x:c r="I45" s="33" t="str">
        <x:v>No external approval or device action was invoked.</x:v>
      </x:c>
      <x:c r="J45" s="33" t="str">
        <x:v>polished.js:687-700; intentgraph/server.cjs:206-285; audit_001_040/fresh-evidence.json (no card scenario)</x:v>
      </x:c>
    </x:row>
    <x:row r="46" ht="49" customHeight="1">
      <x:c r="A46" s="35" t="str">
        <x:v>UX-034</x:v>
      </x:c>
      <x:c r="B46" s="28" t="str">
        <x:v>Execution</x:v>
      </x:c>
      <x:c r="C46" s="28" t="str">
        <x:v>Plan and inspect modes</x:v>
      </x:c>
      <x:c r="D46" s="28" t="str">
        <x:v>Verified</x:v>
      </x:c>
      <x:c r="E46" s="28" t="str">
        <x:v>Partial</x:v>
      </x:c>
      <x:c r="F46" s="28" t="str">
        <x:v>fresh+code</x:v>
      </x:c>
      <x:c r="G46" s="28" t="str">
        <x:v>Plan mode was sent with the expected mode/scope in the controlled request, and no browser state change was observed in that scenario.</x:v>
      </x:c>
      <x:c r="H46" s="28" t="str">
        <x:v>Use a malicious/tool-bearing plan fixture and assert the backend refuses state-changing execution.</x:v>
      </x:c>
      <x:c r="I46" s="28" t="str">
        <x:v>The current fixture did not prove backend no-tools enforcement for every plan request.</x:v>
      </x:c>
      <x:c r="J46" s="28" t="str">
        <x:v>audit_001_040/fresh-evidence.json; polished.js:538-543; intentgraph/server.cjs:245-295</x:v>
      </x:c>
    </x:row>
    <x:row r="47" ht="49" customHeight="1">
      <x:c r="A47" s="36" t="str">
        <x:v>UX-035</x:v>
      </x:c>
      <x:c r="B47" s="33" t="str">
        <x:v>Execution</x:v>
      </x:c>
      <x:c r="C47" s="33" t="str">
        <x:v>Detailed tool transcript</x:v>
      </x:c>
      <x:c r="D47" s="33" t="str">
        <x:v>Verified</x:v>
      </x:c>
      <x:c r="E47" s="33" t="str">
        <x:v>Verified (scoped)</x:v>
      </x:c>
      <x:c r="F47" s="33" t="str">
        <x:v>fresh+code</x:v>
      </x:c>
      <x:c r="G47" s="33" t="str">
        <x:v>The corrected rerun displayed distinct backend-shaped tool_start/tool_result entries plus terminal metadata in the opened activity details.</x:v>
      </x:c>
      <x:c r="H47" s="33" t="str">
        <x:v>Add an explicit raw-versus-result assertion with redacted/untrusted source fields.</x:v>
      </x:c>
      <x:c r="I47" s="33" t="str">
        <x:v>The audit used local fixtures and did not validate a live provider event stream.</x:v>
      </x:c>
      <x:c r="J47" s="33" t="str">
        <x:v>audit_001_040/fresh-evidence.json; intentgraph/server.cjs:261-293; intentgraph/agent-runtime.cjs:248-255; polished.js:434-470</x:v>
      </x:c>
    </x:row>
    <x:row r="48" ht="49" customHeight="1">
      <x:c r="A48" s="35" t="str">
        <x:v>UX-036</x:v>
      </x:c>
      <x:c r="B48" s="28" t="str">
        <x:v>Execution</x:v>
      </x:c>
      <x:c r="C48" s="28" t="str">
        <x:v>Run state and elapsed time</x:v>
      </x:c>
      <x:c r="D48" s="28" t="str">
        <x:v>Verified</x:v>
      </x:c>
      <x:c r="E48" s="28" t="str">
        <x:v>Partial</x:v>
      </x:c>
      <x:c r="F48" s="28" t="str">
        <x:v>fresh+code</x:v>
      </x:c>
      <x:c r="G48" s="28" t="str">
        <x:v>Stopped and failed fixture states did not show a completed-success state; run-state code defines failure precedence and unknown recovery.</x:v>
      </x:c>
      <x:c r="H48" s="28" t="str">
        <x:v>Measure elapsed time before/during/after a real mock delay and assert it stops on failure/interruption.</x:v>
      </x:c>
      <x:c r="I48" s="28" t="str">
        <x:v>Elapsed timing itself was not asserted by the fresh harness.</x:v>
      </x:c>
      <x:c r="J48" s="28" t="str">
        <x:v>audit_001_040/fresh-evidence.json; polished-run-state.js:1-80; polished.js:452-470</x:v>
      </x:c>
    </x:row>
    <x:row r="49" ht="62" customHeight="1">
      <x:c r="A49" s="36" t="str">
        <x:v>UX-037</x:v>
      </x:c>
      <x:c r="B49" s="33" t="str">
        <x:v>Execution</x:v>
      </x:c>
      <x:c r="C49" s="33" t="str">
        <x:v>Parallel work visibility</x:v>
      </x:c>
      <x:c r="D49" s="33" t="str">
        <x:v>Not started</x:v>
      </x:c>
      <x:c r="E49" s="33" t="str">
        <x:v>Missing</x:v>
      </x:c>
      <x:c r="F49" s="33" t="str">
        <x:v>code-only</x:v>
      </x:c>
      <x:c r="G49" s="33" t="str">
        <x:v>The UI globally blocks a second chat request and the backend uses a single chatPending guard, so isolated parallel visibility/stoppability is not implemented.</x:v>
      </x:c>
      <x:c r="H49" s="33" t="str">
        <x:v>Replace global serialization with per-run state and test two isolated mock runs with independent stop/recovery.</x:v>
      </x:c>
      <x:c r="I49" s="33" t="str">
        <x:v>No concurrent provider/device calls were made.</x:v>
      </x:c>
      <x:c r="J49" s="33" t="str">
        <x:v>polished.js:689; intentgraph/server.cjs:257; audit_001_040/fresh-evidence.json (no parallel scenario)</x:v>
      </x:c>
    </x:row>
    <x:row r="50" ht="49" customHeight="1">
      <x:c r="A50" s="35" t="str">
        <x:v>UX-038</x:v>
      </x:c>
      <x:c r="B50" s="28" t="str">
        <x:v>Execution</x:v>
      </x:c>
      <x:c r="C50" s="28" t="str">
        <x:v>Context and usage visibility</x:v>
      </x:c>
      <x:c r="D50" s="28" t="str">
        <x:v>Verified</x:v>
      </x:c>
      <x:c r="E50" s="28" t="str">
        <x:v>Partial</x:v>
      </x:c>
      <x:c r="F50" s="28" t="str">
        <x:v>fresh+code</x:v>
      </x:c>
      <x:c r="G50" s="28" t="str">
        <x:v>Fresh response provenance displayed model and token information and context disclosure was available.</x:v>
      </x:c>
      <x:c r="H50" s="28" t="str">
        <x:v>Exercise unavailable usage values and assert unknown is shown as unavailable rather than zero; compare request model to response model.</x:v>
      </x:c>
      <x:c r="I50" s="28" t="str">
        <x:v>Unknown-usage branch and model-mismatch case were not tested.</x:v>
      </x:c>
      <x:c r="J50" s="28" t="str">
        <x:v>audit_001_040/fresh-evidence.json; polished.js:129-145,434-470; polished-run-state.js:45-60</x:v>
      </x:c>
    </x:row>
    <x:row r="51" ht="62" customHeight="1">
      <x:c r="A51" s="36" t="str">
        <x:v>UX-039</x:v>
      </x:c>
      <x:c r="B51" s="33" t="str">
        <x:v>Execution</x:v>
      </x:c>
      <x:c r="C51" s="33" t="str">
        <x:v>Retry with retained evidence</x:v>
      </x:c>
      <x:c r="D51" s="33" t="str">
        <x:v>Not started</x:v>
      </x:c>
      <x:c r="E51" s="33" t="str">
        <x:v>Partial</x:v>
      </x:c>
      <x:c r="F51" s="33" t="str">
        <x:v>fresh+code</x:v>
      </x:c>
      <x:c r="G51" s="33" t="str">
        <x:v>Failed runs retain partial evidence. A safe retry flow with review of already completed actions is still absent; this was already Not started in the source register.</x:v>
      </x:c>
      <x:c r="H51" s="33" t="str">
        <x:v>Design explicit retry scope and retained-action review, then test that completed operations are never silently repeated.</x:v>
      </x:c>
      <x:c r="I51" s="33" t="str">
        <x:v>No unsafe repeated device operation was reproduced. This is an implementation gap, not a confirmed execution defect.</x:v>
      </x:c>
      <x:c r="J51" s="33" t="str">
        <x:v>audit_001_040/fresh-evidence.json (UX-039 partial evidence); polished.js:453,699,761-767</x:v>
      </x:c>
    </x:row>
    <x:row r="52" ht="49" customHeight="1">
      <x:c r="A52" s="35" t="str">
        <x:v>UX-040</x:v>
      </x:c>
      <x:c r="B52" s="28" t="str">
        <x:v>Execution</x:v>
      </x:c>
      <x:c r="C52" s="28" t="str">
        <x:v>Resume after app restart</x:v>
      </x:c>
      <x:c r="D52" s="28" t="str">
        <x:v>Verified</x:v>
      </x:c>
      <x:c r="E52" s="28" t="str">
        <x:v>Verified (scoped)</x:v>
      </x:c>
      <x:c r="F52" s="28" t="str">
        <x:v>fresh+code</x:v>
      </x:c>
      <x:c r="G52" s="28" t="str">
        <x:v>Isolated restart/recovery checks recovered interrupted journal state without issuing a duplicate API request; recovery marks the run unknown.</x:v>
      </x:c>
      <x:c r="H52" s="28" t="str">
        <x:v>Run packaged-app restart/recovery evidence when that environment is available.</x:v>
      </x:c>
      <x:c r="I52" s="28" t="str">
        <x:v>This was an isolated browser/journal simulation, not a process crash of the packaged app.</x:v>
      </x:c>
      <x:c r="J52" s="28" t="str">
        <x:v>audit_001_040/fresh-evidence.json; polished.js:880-890; polished-run-state.js:1-80</x:v>
      </x:c>
    </x:row>
    <x:row r="53" ht="49" customHeight="1">
      <x:c r="A53" s="36" t="str">
        <x:v>UX-041</x:v>
      </x:c>
      <x:c r="B53" s="33" t="str">
        <x:v>Messages</x:v>
      </x:c>
      <x:c r="C53" s="33" t="str">
        <x:v>Readable Markdown</x:v>
      </x:c>
      <x:c r="D53" s="33" t="str">
        <x:v>Verified</x:v>
      </x:c>
      <x:c r="E53" s="33" t="str">
        <x:v>Verified (scoped)</x:v>
      </x:c>
      <x:c r="F53" s="33" t="str">
        <x:v>fresh-browser</x:v>
      </x:c>
      <x:c r="G53" s="33" t="str">
        <x:v>A fresh Markdown fixture rendered headings, lists, table and code; injected image/script/iframe markup did not become executable elements.</x:v>
      </x:c>
      <x:c r="H53" s="33" t="str">
        <x:v>Keep the safe renderer covered as supported Markdown grows.</x:v>
      </x:c>
      <x:c r="I53" s="33" t="str">
        <x:v>Representative fixture only; this is not a comprehensive security review.</x:v>
      </x:c>
      <x:c r="J53" s="33" t="str">
        <x:v>audit_041_079/messages.json; polished.js:260-306</x:v>
      </x:c>
    </x:row>
    <x:row r="54" ht="62" customHeight="1">
      <x:c r="A54" s="35" t="str">
        <x:v>UX-042</x:v>
      </x:c>
      <x:c r="B54" s="28" t="str">
        <x:v>Messages</x:v>
      </x:c>
      <x:c r="C54" s="28" t="str">
        <x:v>Code blocks and exact copy</x:v>
      </x:c>
      <x:c r="D54" s="28" t="str">
        <x:v>Verified</x:v>
      </x:c>
      <x:c r="E54" s="28" t="str">
        <x:v>Verified (scoped)</x:v>
      </x:c>
      <x:c r="F54" s="28" t="str">
        <x:v>fresh-browser</x:v>
      </x:c>
      <x:c r="G54" s="28" t="str">
        <x:v>A fresh raw CLI fixture rendered once and copied exact spaces, tabs and newlines to the intercepted clipboard.</x:v>
      </x:c>
      <x:c r="H54" s="28" t="str">
        <x:v>Retain exact-copy and single-render regression coverage.</x:v>
      </x:c>
      <x:c r="I54" s="28" t="str">
        <x:v>Browser clipboard was intercepted; OS clipboard integration and all duplicate-output shapes were not tested. Artifact duplication is separately tracked in UX-066.</x:v>
      </x:c>
      <x:c r="J54" s="28" t="str">
        <x:v>audit_041_079/messages.json; polished.js:314-315</x:v>
      </x:c>
    </x:row>
    <x:row r="55" ht="49" customHeight="1">
      <x:c r="A55" s="36" t="str">
        <x:v>UX-043</x:v>
      </x:c>
      <x:c r="B55" s="33" t="str">
        <x:v>Messages</x:v>
      </x:c>
      <x:c r="C55" s="33" t="str">
        <x:v>Copy messages</x:v>
      </x:c>
      <x:c r="D55" s="33" t="str">
        <x:v>Verified</x:v>
      </x:c>
      <x:c r="E55" s="33" t="str">
        <x:v>Verified (scoped)</x:v>
      </x:c>
      <x:c r="F55" s="33" t="str">
        <x:v>fresh-browser</x:v>
      </x:c>
      <x:c r="G55" s="33" t="str">
        <x:v>Fresh tests copied the selected assistant/user messages and showed Copy failed when the clipboard rejected the write.</x:v>
      </x:c>
      <x:c r="H55" s="33" t="str">
        <x:v>Keep clipboard success and denial feedback covered.</x:v>
      </x:c>
      <x:c r="I55" s="33" t="str">
        <x:v>Clipboard API was intercepted in an isolated browser.</x:v>
      </x:c>
      <x:c r="J55" s="33" t="str">
        <x:v>audit_041_079/messages.json; polished.js:306-318</x:v>
      </x:c>
    </x:row>
    <x:row r="56" ht="49" customHeight="1">
      <x:c r="A56" s="35" t="str">
        <x:v>UX-044</x:v>
      </x:c>
      <x:c r="B56" s="28" t="str">
        <x:v>Messages</x:v>
      </x:c>
      <x:c r="C56" s="28" t="str">
        <x:v>Time grouping and metadata</x:v>
      </x:c>
      <x:c r="D56" s="28" t="str">
        <x:v>Verified</x:v>
      </x:c>
      <x:c r="E56" s="28" t="str">
        <x:v>Verified (scoped)</x:v>
      </x:c>
      <x:c r="F56" s="28" t="str">
        <x:v>fresh-browser</x:v>
      </x:c>
      <x:c r="G56" s="28" t="str">
        <x:v>Fixture messages on different dates received date grouping; timestamps exposed focusable accessible labels.</x:v>
      </x:c>
      <x:c r="H56" s="28" t="str">
        <x:v>Retain local-date and accessible-time regression coverage.</x:v>
      </x:c>
      <x:c r="I56" s="28" t="str">
        <x:v>No screen-reader or timezone-boundary matrix was performed.</x:v>
      </x:c>
      <x:c r="J56" s="28" t="str">
        <x:v>audit_041_079/messages.json; polished.js:488-496</x:v>
      </x:c>
    </x:row>
    <x:row r="57" ht="49" customHeight="1">
      <x:c r="A57" s="36" t="str">
        <x:v>UX-045</x:v>
      </x:c>
      <x:c r="B57" s="33" t="str">
        <x:v>Messages</x:v>
      </x:c>
      <x:c r="C57" s="33" t="str">
        <x:v>Follow latest without jumping</x:v>
      </x:c>
      <x:c r="D57" s="33" t="str">
        <x:v>Verified</x:v>
      </x:c>
      <x:c r="E57" s="33" t="str">
        <x:v>Partial</x:v>
      </x:c>
      <x:c r="F57" s="33" t="str">
        <x:v>fresh-browser</x:v>
      </x:c>
      <x:c r="G57" s="33" t="str">
        <x:v>Rendering was exercised with a long history, but this run did not assert the near-bottom follow-latest threshold or keyboard Jump to latest behavior.</x:v>
      </x:c>
      <x:c r="H57" s="33" t="str">
        <x:v>Add a scroll-position fixture that proves older reading position is preserved and the latest control is keyboard usable.</x:v>
      </x:c>
      <x:c r="I57" s="33" t="str">
        <x:v>No follow-latest interaction was exercised; live streaming is unavailable.</x:v>
      </x:c>
      <x:c r="J57" s="33" t="str">
        <x:v>audit_041_079/messages.json; polished.js:688-713</x:v>
      </x:c>
    </x:row>
    <x:row r="58" ht="42" customHeight="1">
      <x:c r="A58" s="35" t="str">
        <x:v>UX-046</x:v>
      </x:c>
      <x:c r="B58" s="28" t="str">
        <x:v>Messages</x:v>
      </x:c>
      <x:c r="C58" s="28" t="str">
        <x:v>Conversation revert and undo</x:v>
      </x:c>
      <x:c r="D58" s="28" t="str">
        <x:v>Verified</x:v>
      </x:c>
      <x:c r="E58" s="28" t="str">
        <x:v>Partial</x:v>
      </x:c>
      <x:c r="F58" s="28" t="str">
        <x:v>fresh-browser</x:v>
      </x:c>
      <x:c r="G58" s="28" t="str">
        <x:v>Revert removed later messages and Undo restored the later target message in the isolated fixture.</x:v>
      </x:c>
      <x:c r="H58" s="28" t="str">
        <x:v>Verify byte-equivalent history restoration and blocked revert while running/queued.</x:v>
      </x:c>
      <x:c r="I58" s="28" t="str">
        <x:v>Exact full-history equality and busy/queued protection were not asserted.</x:v>
      </x:c>
      <x:c r="J58" s="28" t="str">
        <x:v>audit_041_079/messages.json; polished.js:417-446</x:v>
      </x:c>
    </x:row>
    <x:row r="59" ht="49" customHeight="1">
      <x:c r="A59" s="36" t="str">
        <x:v>UX-047</x:v>
      </x:c>
      <x:c r="B59" s="33" t="str">
        <x:v>Messages</x:v>
      </x:c>
      <x:c r="C59" s="33" t="str">
        <x:v>Fork or side conversation</x:v>
      </x:c>
      <x:c r="D59" s="33" t="str">
        <x:v>Verified</x:v>
      </x:c>
      <x:c r="E59" s="33" t="str">
        <x:v>Partial</x:v>
      </x:c>
      <x:c r="F59" s="33" t="str">
        <x:v>fresh-browser</x:v>
      </x:c>
      <x:c r="G59" s="33" t="str">
        <x:v>Fork created a separate three-message branch with a parent provenance link; the parent draft remained unchanged.</x:v>
      </x:c>
      <x:c r="H59" s="33" t="str">
        <x:v>Retest branch navigation/reload and parent-history preservation.</x:v>
      </x:c>
      <x:c r="I59" s="33" t="str">
        <x:v>Revisit after reload and exact parent-history equality were not asserted.</x:v>
      </x:c>
      <x:c r="J59" s="33" t="str">
        <x:v>audit_041_079/messages.json; polished.js:377-390</x:v>
      </x:c>
    </x:row>
    <x:row r="60" ht="49" customHeight="1">
      <x:c r="A60" s="35" t="str">
        <x:v>UX-048</x:v>
      </x:c>
      <x:c r="B60" s="28" t="str">
        <x:v>Messages</x:v>
      </x:c>
      <x:c r="C60" s="28" t="str">
        <x:v>Direct links to evidence/messages</x:v>
      </x:c>
      <x:c r="D60" s="28" t="str">
        <x:v>Verified</x:v>
      </x:c>
      <x:c r="E60" s="28" t="str">
        <x:v>Partial</x:v>
      </x:c>
      <x:c r="F60" s="28" t="str">
        <x:v>fresh-browser</x:v>
      </x:c>
      <x:c r="G60" s="28" t="str">
        <x:v>Copy link generated a chat/message-scoped URL, but exact opening plus missing and archived destination explanations were not exercised.</x:v>
      </x:c>
      <x:c r="H60" s="28" t="str">
        <x:v>Test opening copied links for existing, missing, and archived destinations.</x:v>
      </x:c>
      <x:c r="I60" s="28" t="str">
        <x:v>The isolated check only inspected the copied URL.</x:v>
      </x:c>
      <x:c r="J60" s="28" t="str">
        <x:v>audit_041_079/messages.json; polished.js:404-415</x:v>
      </x:c>
    </x:row>
    <x:row r="61" ht="49" customHeight="1">
      <x:c r="A61" s="36" t="str">
        <x:v>UX-049</x:v>
      </x:c>
      <x:c r="B61" s="33" t="str">
        <x:v>Messages</x:v>
      </x:c>
      <x:c r="C61" s="33" t="str">
        <x:v>Reaction picker beyond defaults</x:v>
      </x:c>
      <x:c r="D61" s="33" t="str">
        <x:v>Verified</x:v>
      </x:c>
      <x:c r="E61" s="33" t="str">
        <x:v>Partial</x:v>
      </x:c>
      <x:c r="F61" s="33" t="str">
        <x:v>fresh-browser</x:v>
      </x:c>
      <x:c r="G61" s="33" t="str">
        <x:v>The additional picker rendered ten choices and replacement/clearing worked, but search/navigation and close-without-message-movement were not tested.</x:v>
      </x:c>
      <x:c r="H61" s="33" t="str">
        <x:v>Exercise picker keyboard navigation, search, dismissal, and scroll stability.</x:v>
      </x:c>
      <x:c r="I61" s="33" t="str">
        <x:v>No search or keyboard-navigation assertion.</x:v>
      </x:c>
      <x:c r="J61" s="33" t="str">
        <x:v>audit_041_079/messages.json; polished.js:362-370</x:v>
      </x:c>
    </x:row>
    <x:row r="62" ht="42" customHeight="1">
      <x:c r="A62" s="35" t="str">
        <x:v>UX-050</x:v>
      </x:c>
      <x:c r="B62" s="28" t="str">
        <x:v>History</x:v>
      </x:c>
      <x:c r="C62" s="28" t="str">
        <x:v>Archive and restore</x:v>
      </x:c>
      <x:c r="D62" s="28" t="str">
        <x:v>Verified</x:v>
      </x:c>
      <x:c r="E62" s="28" t="str">
        <x:v>Partial</x:v>
      </x:c>
      <x:c r="F62" s="28" t="str">
        <x:v>fresh-browser</x:v>
      </x:c>
      <x:c r="G62" s="28" t="str">
        <x:v>Archive hid the composer; restoring and reloading made the selected chat writable again.</x:v>
      </x:c>
      <x:c r="H62" s="28" t="str">
        <x:v>Compare full history/evidence before and after archive/restore.</x:v>
      </x:c>
      <x:c r="I62" s="28" t="str">
        <x:v>Exact message/evidence preservation across archive/restore was not asserted.</x:v>
      </x:c>
      <x:c r="J62" s="28" t="str">
        <x:v>audit_041_079/history-settings.json; polished.js:843-879</x:v>
      </x:c>
    </x:row>
    <x:row r="63" ht="49" customHeight="1">
      <x:c r="A63" s="36" t="str">
        <x:v>UX-051</x:v>
      </x:c>
      <x:c r="B63" s="33" t="str">
        <x:v>History</x:v>
      </x:c>
      <x:c r="C63" s="33" t="str">
        <x:v>Export conversations and evidence</x:v>
      </x:c>
      <x:c r="D63" s="33" t="str">
        <x:v>Verified</x:v>
      </x:c>
      <x:c r="E63" s="33" t="str">
        <x:v>Partial</x:v>
      </x:c>
      <x:c r="F63" s="33" t="str">
        <x:v>fresh-browser</x:v>
      </x:c>
      <x:c r="G63" s="33" t="str">
        <x:v>Workspace export produced an aven-workspace envelope containing the selected fixture chat.</x:v>
      </x:c>
      <x:c r="H63" s="33" t="str">
        <x:v>Validate export content against source scope and raw evidence, including sensitive fields.</x:v>
      </x:c>
      <x:c r="I63" s="33" t="str">
        <x:v>Selected-conversation scope, exact raw evidence/timestamps and complete secret-exclusion behavior were not asserted.</x:v>
      </x:c>
      <x:c r="J63" s="33" t="str">
        <x:v>audit_041_079/history-settings.json; polished.js:843-879</x:v>
      </x:c>
    </x:row>
    <x:row r="64" ht="49" customHeight="1">
      <x:c r="A64" s="35" t="str">
        <x:v>UX-052</x:v>
      </x:c>
      <x:c r="B64" s="28" t="str">
        <x:v>History</x:v>
      </x:c>
      <x:c r="C64" s="28" t="str">
        <x:v>Import and backup recovery</x:v>
      </x:c>
      <x:c r="D64" s="28" t="str">
        <x:v>Verified</x:v>
      </x:c>
      <x:c r="E64" s="28" t="str">
        <x:v>Partial</x:v>
      </x:c>
      <x:c r="F64" s="28" t="str">
        <x:v>fresh-browser</x:v>
      </x:c>
      <x:c r="G64" s="28" t="str">
        <x:v>Invalid JSON import was rejected without opening a preview; valid restore merge and unrelated-work preservation were not exercised.</x:v>
      </x:c>
      <x:c r="H64" s="28" t="str">
        <x:v>Run valid Add and Replace imports with collision and unrelated-chat fixtures, including recovery.</x:v>
      </x:c>
      <x:c r="I64" s="28" t="str">
        <x:v>Only the invalid-input path was freshly tested.</x:v>
      </x:c>
      <x:c r="J64" s="28" t="str">
        <x:v>audit_041_079/history-settings.json; polished.js:843-879</x:v>
      </x:c>
    </x:row>
    <x:row r="65" ht="42" customHeight="1">
      <x:c r="A65" s="36" t="str">
        <x:v>UX-053</x:v>
      </x:c>
      <x:c r="B65" s="33" t="str">
        <x:v>History</x:v>
      </x:c>
      <x:c r="C65" s="33" t="str">
        <x:v>Durable cross-device histories</x:v>
      </x:c>
      <x:c r="D65" s="33" t="str">
        <x:v>Deferred</x:v>
      </x:c>
      <x:c r="E65" s="33" t="str">
        <x:v>Deferred</x:v>
      </x:c>
      <x:c r="F65" s="33" t="str">
        <x:v>register-decision</x:v>
      </x:c>
      <x:c r="G65" s="33" t="str">
        <x:v>Cross-device history remains explicitly deferred pending identity and ownership contracts.</x:v>
      </x:c>
      <x:c r="H65" s="33" t="str">
        <x:v>Revisit after account/customer isolation contract exists.</x:v>
      </x:c>
      <x:c r="I65" s="33" t="str">
        <x:v>No cross-device service exists in this build.</x:v>
      </x:c>
      <x:c r="J65" s="33" t="str">
        <x:v>source-register.json; current localStorage-only implementation</x:v>
      </x:c>
    </x:row>
    <x:row r="66" ht="49" customHeight="1">
      <x:c r="A66" s="35" t="str">
        <x:v>UX-054</x:v>
      </x:c>
      <x:c r="B66" s="28" t="str">
        <x:v>Coworkers</x:v>
      </x:c>
      <x:c r="C66" s="28" t="str">
        <x:v>Avatar family and appearance</x:v>
      </x:c>
      <x:c r="D66" s="28" t="str">
        <x:v>Verified</x:v>
      </x:c>
      <x:c r="E66" s="28" t="str">
        <x:v>Partial</x:v>
      </x:c>
      <x:c r="F66" s="28" t="str">
        <x:v>fresh-browser</x:v>
      </x:c>
      <x:c r="G66" s="28" t="str">
        <x:v>Avatar choices rendered and one selection saved, but migration compatibility and reload persistence were not asserted in this run.</x:v>
      </x:c>
      <x:c r="H66" s="28" t="str">
        <x:v>Exercise legacy avatar migration and reload every avatar choice.</x:v>
      </x:c>
      <x:c r="I66" s="28" t="str">
        <x:v>No migration/reload assertion in this child audit.</x:v>
      </x:c>
      <x:c r="J66" s="28" t="str">
        <x:v>audit_041_079/history-settings.json; polished.js:618-651</x:v>
      </x:c>
    </x:row>
    <x:row r="67" ht="49" customHeight="1">
      <x:c r="A67" s="36" t="str">
        <x:v>UX-055</x:v>
      </x:c>
      <x:c r="B67" s="33" t="str">
        <x:v>Coworkers</x:v>
      </x:c>
      <x:c r="C67" s="33" t="str">
        <x:v>Name, label and description</x:v>
      </x:c>
      <x:c r="D67" s="33" t="str">
        <x:v>Verified</x:v>
      </x:c>
      <x:c r="E67" s="33" t="str">
        <x:v>Partial</x:v>
      </x:c>
      <x:c r="F67" s="33" t="str">
        <x:v>fresh-browser</x:v>
      </x:c>
      <x:c r="G67" s="33" t="str">
        <x:v>Profile rename updated the selected coworker, but long-name readability and selected-coworker isolation were not exercised.</x:v>
      </x:c>
      <x:c r="H67" s="33" t="str">
        <x:v>Test long labels and rename isolation across two coworkers.</x:v>
      </x:c>
      <x:c r="I67" s="33" t="str">
        <x:v>Only a short rename on the seeded coworker was tested.</x:v>
      </x:c>
      <x:c r="J67" s="33" t="str">
        <x:v>audit_041_079/history-settings.json; polished.js:618-651</x:v>
      </x:c>
    </x:row>
    <x:row r="68" ht="49" customHeight="1">
      <x:c r="A68" s="35" t="str">
        <x:v>UX-056</x:v>
      </x:c>
      <x:c r="B68" s="28" t="str">
        <x:v>Coworkers</x:v>
      </x:c>
      <x:c r="C68" s="28" t="str">
        <x:v>Behavior and document access</x:v>
      </x:c>
      <x:c r="D68" s="28" t="str">
        <x:v>Implemented</x:v>
      </x:c>
      <x:c r="E68" s="28" t="str">
        <x:v>Partial</x:v>
      </x:c>
      <x:c r="F68" s="28" t="str">
        <x:v>code-review</x:v>
      </x:c>
      <x:c r="G68" s="28" t="str">
        <x:v>Live profile and document UI expose SOUL/MEMORY with explicit local-only disclosure; they are not model memory or a connected behavior runtime.</x:v>
      </x:c>
      <x:c r="H68" s="28" t="str">
        <x:v>Keep local-note semantics explicit; define and test any future runtime document integration.</x:v>
      </x:c>
      <x:c r="I68" s="28" t="str">
        <x:v>Saving and consuming the same document in a real model request were not demonstrated.</x:v>
      </x:c>
      <x:c r="J68" s="28" t="str">
        <x:v>root-ui-observations.json; audit_041_079/history-settings.json; polished.js</x:v>
      </x:c>
    </x:row>
    <x:row r="69" ht="49" customHeight="1">
      <x:c r="A69" s="36" t="str">
        <x:v>UX-057</x:v>
      </x:c>
      <x:c r="B69" s="33" t="str">
        <x:v>Coworkers</x:v>
      </x:c>
      <x:c r="C69" s="33" t="str">
        <x:v>Notification preference</x:v>
      </x:c>
      <x:c r="D69" s="33" t="str">
        <x:v>Implemented</x:v>
      </x:c>
      <x:c r="E69" s="33" t="str">
        <x:v>Partial</x:v>
      </x:c>
      <x:c r="F69" s="33" t="str">
        <x:v>code-review</x:v>
      </x:c>
      <x:c r="G69" s="33" t="str">
        <x:v>A notification preference control is present, but completion, waiting, and error delivery/link behavior was not exercised.</x:v>
      </x:c>
      <x:c r="H69" s="33" t="str">
        <x:v>Exercise muted and enabled completion/waiting/error events and verify the linked message/run.</x:v>
      </x:c>
      <x:c r="I69" s="33" t="str">
        <x:v>No alert/event delivery assertion in this child audit.</x:v>
      </x:c>
      <x:c r="J69" s="33" t="str">
        <x:v>audit_041_079/fresh-evidence.json; polished.js:880-892</x:v>
      </x:c>
    </x:row>
    <x:row r="70" ht="62" customHeight="1">
      <x:c r="A70" s="35" t="str">
        <x:v>UX-058</x:v>
      </x:c>
      <x:c r="B70" s="28" t="str">
        <x:v>Coworkers</x:v>
      </x:c>
      <x:c r="C70" s="28" t="str">
        <x:v>Simple creation and first welcome</x:v>
      </x:c>
      <x:c r="D70" s="28" t="str">
        <x:v>Verified</x:v>
      </x:c>
      <x:c r="E70" s="28" t="str">
        <x:v>Defect</x:v>
      </x:c>
      <x:c r="F70" s="28" t="str">
        <x:v>Fresh isolated browser failure/reload test + live welcome inspection</x:v>
      </x:c>
      <x:c r="G70" s="28" t="str">
        <x:v>Local welcome is correctly labeled, but failed creation persists an orphan coworker without its conversation/documents and blocks retry after reload.</x:v>
      </x:c>
      <x:c r="H70" s="28" t="str">
        <x:v>Make preferences/chat/doc creation transactional and add failure/reload/retry regression coverage.</x:v>
      </x:c>
      <x:c r="I70" s="28" t="str">
        <x:v>Failure injected in isolated localStorage; no user data or provider/device calls.</x:v>
      </x:c>
      <x:c r="J70" s="28" t="str">
        <x:v>root-storage-evidence.json; root-storage-defect.png; polished.js:807</x:v>
      </x:c>
    </x:row>
    <x:row r="71" ht="49" customHeight="1">
      <x:c r="A71" s="36" t="str">
        <x:v>UX-059</x:v>
      </x:c>
      <x:c r="B71" s="33" t="str">
        <x:v>Settings</x:v>
      </x:c>
      <x:c r="C71" s="33" t="str">
        <x:v>Appearance and density</x:v>
      </x:c>
      <x:c r="D71" s="33" t="str">
        <x:v>Verified</x:v>
      </x:c>
      <x:c r="E71" s="33" t="str">
        <x:v>Partial</x:v>
      </x:c>
      <x:c r="F71" s="33" t="str">
        <x:v>fresh-browser</x:v>
      </x:c>
      <x:c r="G71" s="33" t="str">
        <x:v>Compact density persisted and controls remained readable, but both light and dark themes were not exercised.</x:v>
      </x:c>
      <x:c r="H71" s="33" t="str">
        <x:v>Run both theme modes through save, cancel, reload, and storage failure.</x:v>
      </x:c>
      <x:c r="I71" s="33" t="str">
        <x:v>Only density/one appearance path was tested.</x:v>
      </x:c>
      <x:c r="J71" s="33" t="str">
        <x:v>audit_041_079/history-settings.json; polished.js:843-879</x:v>
      </x:c>
    </x:row>
    <x:row r="72" ht="49" customHeight="1">
      <x:c r="A72" s="35" t="str">
        <x:v>UX-060</x:v>
      </x:c>
      <x:c r="B72" s="28" t="str">
        <x:v>Settings</x:v>
      </x:c>
      <x:c r="C72" s="28" t="str">
        <x:v>Live provider setup</x:v>
      </x:c>
      <x:c r="D72" s="28" t="str">
        <x:v>Implemented</x:v>
      </x:c>
      <x:c r="E72" s="28" t="str">
        <x:v>Partial</x:v>
      </x:c>
      <x:c r="F72" s="28" t="str">
        <x:v>Direct live UI and local status GET</x:v>
      </x:c>
      <x:c r="G72" s="28" t="str">
        <x:v>Current OpenCode Go / mimo-v2.5 configuration is displayed. The UI explicitly says provider switching is unavailable.</x:v>
      </x:c>
      <x:c r="H72" s="28" t="str">
        <x:v>Add explicit provider setup/switching and verify the selected runtime and response provenance match.</x:v>
      </x:c>
      <x:c r="I72" s="28" t="str">
        <x:v>Local configured status is not proof of provider reachability; no credentials or provider requests were used.</x:v>
      </x:c>
      <x:c r="J72" s="28" t="str">
        <x:v>root-ui-observations.json; polished-diagnostics.js</x:v>
      </x:c>
    </x:row>
    <x:row r="73" ht="49" customHeight="1">
      <x:c r="A73" s="36" t="str">
        <x:v>UX-061</x:v>
      </x:c>
      <x:c r="B73" s="33" t="str">
        <x:v>Settings</x:v>
      </x:c>
      <x:c r="C73" s="33" t="str">
        <x:v>Connections health</x:v>
      </x:c>
      <x:c r="D73" s="33" t="str">
        <x:v>Implemented</x:v>
      </x:c>
      <x:c r="E73" s="33" t="str">
        <x:v>Partial</x:v>
      </x:c>
      <x:c r="F73" s="33" t="str">
        <x:v>Direct live UI and local status GET</x:v>
      </x:c>
      <x:c r="G73" s="33" t="str">
        <x:v>Connections displays generic local provider diagnostics, not individual adapter connection/health state.</x:v>
      </x:c>
      <x:c r="H73" s="33" t="str">
        <x:v>Expose adapter-specific state and refresh results, with accurate unavailable/failed states.</x:v>
      </x:c>
      <x:c r="I73" s="33" t="str">
        <x:v>No remote adapter health check or inventory load was performed.</x:v>
      </x:c>
      <x:c r="J73" s="33" t="str">
        <x:v>root-ui-observations.json; polished.js</x:v>
      </x:c>
    </x:row>
    <x:row r="74" ht="49" customHeight="1">
      <x:c r="A74" s="35" t="str">
        <x:v>UX-062</x:v>
      </x:c>
      <x:c r="B74" s="28" t="str">
        <x:v>Settings</x:v>
      </x:c>
      <x:c r="C74" s="28" t="str">
        <x:v>Privacy and data controls</x:v>
      </x:c>
      <x:c r="D74" s="28" t="str">
        <x:v>Verified</x:v>
      </x:c>
      <x:c r="E74" s="28" t="str">
        <x:v>Partial</x:v>
      </x:c>
      <x:c r="F74" s="28" t="str">
        <x:v>code-review</x:v>
      </x:c>
      <x:c r="G74" s="28" t="str">
        <x:v>Live privacy copy distinguishes browser/service storage, request data and local-only notes/files; export/import controls exist.</x:v>
      </x:c>
      <x:c r="H74" s="28" t="str">
        <x:v>Verify recoverability and disclosure against every data-control path.</x:v>
      </x:c>
      <x:c r="I74" s="28" t="str">
        <x:v>The full destructive-operation recovery and valid-import preservation contract was not exercised.</x:v>
      </x:c>
      <x:c r="J74" s="28" t="str">
        <x:v>root-ui-observations.json; audit_041_079/history-settings.json</x:v>
      </x:c>
    </x:row>
    <x:row r="75" ht="42" customHeight="1">
      <x:c r="A75" s="36" t="str">
        <x:v>UX-063</x:v>
      </x:c>
      <x:c r="B75" s="33" t="str">
        <x:v>Settings</x:v>
      </x:c>
      <x:c r="C75" s="33" t="str">
        <x:v>Real account and sign-out</x:v>
      </x:c>
      <x:c r="D75" s="33" t="str">
        <x:v>Deferred</x:v>
      </x:c>
      <x:c r="E75" s="33" t="str">
        <x:v>Deferred</x:v>
      </x:c>
      <x:c r="F75" s="33" t="str">
        <x:v>register-decision</x:v>
      </x:c>
      <x:c r="G75" s="33" t="str">
        <x:v>Account/sign-out remains a local placeholder and is explicitly deferred.</x:v>
      </x:c>
      <x:c r="H75" s="33" t="str">
        <x:v>Revisit with an authenticated account contract.</x:v>
      </x:c>
      <x:c r="I75" s="33" t="str">
        <x:v>No remote identity is connected.</x:v>
      </x:c>
      <x:c r="J75" s="33" t="str">
        <x:v>source-register.json; polished.js accountAction</x:v>
      </x:c>
    </x:row>
    <x:row r="76" ht="49" customHeight="1">
      <x:c r="A76" s="35" t="str">
        <x:v>UX-064</x:v>
      </x:c>
      <x:c r="B76" s="28" t="str">
        <x:v>Settings</x:v>
      </x:c>
      <x:c r="C76" s="28" t="str">
        <x:v>Help and feedback</x:v>
      </x:c>
      <x:c r="D76" s="28" t="str">
        <x:v>Verified</x:v>
      </x:c>
      <x:c r="E76" s="28" t="str">
        <x:v>Verified (scoped)</x:v>
      </x:c>
      <x:c r="F76" s="28" t="str">
        <x:v>fresh-browser</x:v>
      </x:c>
      <x:c r="G76" s="28" t="str">
        <x:v>Help opened keyboard guidance. Feedback saved locally and reported that state without an outbound request.</x:v>
      </x:c>
      <x:c r="H76" s="28" t="str">
        <x:v>Retain help and local-feedback regression coverage.</x:v>
      </x:c>
      <x:c r="I76" s="28" t="str">
        <x:v>Tested help/feedback entries only; local storage failure for feedback was not injected.</x:v>
      </x:c>
      <x:c r="J76" s="28" t="str">
        <x:v>audit_041_079/history-settings.json; polished.js:843-879</x:v>
      </x:c>
    </x:row>
    <x:row r="77" ht="49" customHeight="1">
      <x:c r="A77" s="36" t="str">
        <x:v>UX-065</x:v>
      </x:c>
      <x:c r="B77" s="33" t="str">
        <x:v>Settings</x:v>
      </x:c>
      <x:c r="C77" s="33" t="str">
        <x:v>Shortcut reference</x:v>
      </x:c>
      <x:c r="D77" s="33" t="str">
        <x:v>Verified</x:v>
      </x:c>
      <x:c r="E77" s="33" t="str">
        <x:v>Partial</x:v>
      </x:c>
      <x:c r="F77" s="33" t="str">
        <x:v>fresh-browser</x:v>
      </x:c>
      <x:c r="G77" s="33" t="str">
        <x:v>The command palette opened and returned a search result, but Ctrl/Cmd+K and Ctrl/Cmd+F bindings and unavailable-action filtering were not asserted.</x:v>
      </x:c>
      <x:c r="H77" s="33" t="str">
        <x:v>Exercise the documented shortcut keys and verify command registry filtering.</x:v>
      </x:c>
      <x:c r="I77" s="33" t="str">
        <x:v>No direct keyboard shortcut assertions.</x:v>
      </x:c>
      <x:c r="J77" s="33" t="str">
        <x:v>audit_041_079/history-settings.json; polished.js:860-892</x:v>
      </x:c>
    </x:row>
    <x:row r="78" ht="49" customHeight="1">
      <x:c r="A78" s="35" t="str">
        <x:v>UX-066</x:v>
      </x:c>
      <x:c r="B78" s="28" t="str">
        <x:v>Outputs</x:v>
      </x:c>
      <x:c r="C78" s="28" t="str">
        <x:v>Artifact library for real chats</x:v>
      </x:c>
      <x:c r="D78" s="28" t="str">
        <x:v>Implemented</x:v>
      </x:c>
      <x:c r="E78" s="28" t="str">
        <x:v>Defect</x:v>
      </x:c>
      <x:c r="F78" s="28" t="str">
        <x:v>fresh-browser</x:v>
      </x:c>
      <x:c r="G78" s="28" t="str">
        <x:v>Artifact library duplicates one raw output when the same diagnostic is present in both serialized events and evidence.</x:v>
      </x:c>
      <x:c r="H78" s="28" t="str">
        <x:v>Deduplicate artifact outputs by stable provenance/content key across events and evidence.</x:v>
      </x:c>
      <x:c r="I78" s="28" t="str">
        <x:v>Reproduction uses a synthetic persisted run; no provider/device call.</x:v>
      </x:c>
      <x:c r="J78" s="28" t="str">
        <x:v>audit_041_079/artifact-duplicate-evidence.json; polished-workspace-tools.js:127-190</x:v>
      </x:c>
    </x:row>
    <x:row r="79" ht="49" customHeight="1">
      <x:c r="A79" s="36" t="str">
        <x:v>UX-067</x:v>
      </x:c>
      <x:c r="B79" s="33" t="str">
        <x:v>Outputs</x:v>
      </x:c>
      <x:c r="C79" s="33" t="str">
        <x:v>Browser preview</x:v>
      </x:c>
      <x:c r="D79" s="33" t="str">
        <x:v>Implemented</x:v>
      </x:c>
      <x:c r="E79" s="33" t="str">
        <x:v>Partial</x:v>
      </x:c>
      <x:c r="F79" s="33" t="str">
        <x:v>fresh-browser</x:v>
      </x:c>
      <x:c r="G79" s="33" t="str">
        <x:v>Browser preview accurately says no browser session is connected; there is no actual page preview or control session.</x:v>
      </x:c>
      <x:c r="H79" s="33" t="str">
        <x:v>Implement an authorized browser session before treating preview/control as complete.</x:v>
      </x:c>
      <x:c r="I79" s="33" t="str">
        <x:v>Unavailable state passed; live browsing capability remains absent.</x:v>
      </x:c>
      <x:c r="J79" s="33" t="str">
        <x:v>root-ui-observations.json; audit_041_079/panes-evidence.json</x:v>
      </x:c>
    </x:row>
    <x:row r="80" ht="49" customHeight="1">
      <x:c r="A80" s="35" t="str">
        <x:v>UX-068</x:v>
      </x:c>
      <x:c r="B80" s="28" t="str">
        <x:v>Outputs</x:v>
      </x:c>
      <x:c r="C80" s="28" t="str">
        <x:v>Computer preview and control</x:v>
      </x:c>
      <x:c r="D80" s="28" t="str">
        <x:v>Implemented</x:v>
      </x:c>
      <x:c r="E80" s="28" t="str">
        <x:v>Partial</x:v>
      </x:c>
      <x:c r="F80" s="28" t="str">
        <x:v>fresh-browser</x:v>
      </x:c>
      <x:c r="G80" s="28" t="str">
        <x:v>Computer preview accurately says no computer session is connected; there is no live screen or action session.</x:v>
      </x:c>
      <x:c r="H80" s="28" t="str">
        <x:v>Implement authorized screen/action sessions with freshness and control boundaries.</x:v>
      </x:c>
      <x:c r="I80" s="28" t="str">
        <x:v>Unavailable state passed; live computer control remains absent.</x:v>
      </x:c>
      <x:c r="J80" s="28" t="str">
        <x:v>root-ui-observations.json; audit_041_079/panes-evidence.json</x:v>
      </x:c>
    </x:row>
    <x:row r="81" ht="49" customHeight="1">
      <x:c r="A81" s="36" t="str">
        <x:v>UX-069</x:v>
      </x:c>
      <x:c r="B81" s="33" t="str">
        <x:v>Outputs</x:v>
      </x:c>
      <x:c r="C81" s="33" t="str">
        <x:v>Resizable work panes</x:v>
      </x:c>
      <x:c r="D81" s="33" t="str">
        <x:v>Verified</x:v>
      </x:c>
      <x:c r="E81" s="33" t="str">
        <x:v>Partial</x:v>
      </x:c>
      <x:c r="F81" s="33" t="str">
        <x:v>fresh-browser</x:v>
      </x:c>
      <x:c r="G81" s="33" t="str">
        <x:v>Keyboard pane resize clamped to 320px and panes opened, but width persistence and close-focus restoration were not asserted.</x:v>
      </x:c>
      <x:c r="H81" s="33" t="str">
        <x:v>Resize, reload, reopen, and verify focus returns to the opener.</x:v>
      </x:c>
      <x:c r="I81" s="33" t="str">
        <x:v>Single-session resize/close coverage only.</x:v>
      </x:c>
      <x:c r="J81" s="33" t="str">
        <x:v>audit_041_079/panes-evidence.json; polished.js:734-758</x:v>
      </x:c>
    </x:row>
    <x:row r="82" ht="49" customHeight="1">
      <x:c r="A82" s="35" t="str">
        <x:v>UX-070</x:v>
      </x:c>
      <x:c r="B82" s="28" t="str">
        <x:v>Outputs</x:v>
      </x:c>
      <x:c r="C82" s="28" t="str">
        <x:v>File tree and editor</x:v>
      </x:c>
      <x:c r="D82" s="28" t="str">
        <x:v>Verified</x:v>
      </x:c>
      <x:c r="E82" s="28" t="str">
        <x:v>Partial</x:v>
      </x:c>
      <x:c r="F82" s="28" t="str">
        <x:v>code-review</x:v>
      </x:c>
      <x:c r="G82" s="28" t="str">
        <x:v>Session-scoped text file editor contains exact review/save/conflict checks; real OS picker and external disk scope remain unverified.</x:v>
      </x:c>
      <x:c r="H82" s="28" t="str">
        <x:v>Exercise with a real user-selected folder under owner-controlled QA.</x:v>
      </x:c>
      <x:c r="I82" s="28" t="str">
        <x:v>No user disk writes were performed.</x:v>
      </x:c>
      <x:c r="J82" s="28" t="str">
        <x:v>audit_041_079/fresh-evidence.json; polished-files.js:45-170,384-447</x:v>
      </x:c>
    </x:row>
    <x:row r="83" ht="42" customHeight="1">
      <x:c r="A83" s="36" t="str">
        <x:v>UX-071</x:v>
      </x:c>
      <x:c r="B83" s="33" t="str">
        <x:v>Outputs</x:v>
      </x:c>
      <x:c r="C83" s="33" t="str">
        <x:v>Interactive terminal</x:v>
      </x:c>
      <x:c r="D83" s="33" t="str">
        <x:v>Not started</x:v>
      </x:c>
      <x:c r="E83" s="33" t="str">
        <x:v>Missing</x:v>
      </x:c>
      <x:c r="F83" s="33" t="str">
        <x:v>fresh-browser</x:v>
      </x:c>
      <x:c r="G83" s="33" t="str">
        <x:v>Aven exposes retained raw diagnostic output but no general interactive terminal surface.</x:v>
      </x:c>
      <x:c r="H83" s="33" t="str">
        <x:v>Define authorized shell/session boundaries before adding terminal.</x:v>
      </x:c>
      <x:c r="I83" s="33" t="str">
        <x:v>Intentional scope gap.</x:v>
      </x:c>
      <x:c r="J83" s="33" t="str">
        <x:v>audit_041_079/panes-evidence.json; polished.js:639-646</x:v>
      </x:c>
    </x:row>
    <x:row r="84" ht="49" customHeight="1">
      <x:c r="A84" s="35" t="str">
        <x:v>UX-072</x:v>
      </x:c>
      <x:c r="B84" s="28" t="str">
        <x:v>Review</x:v>
      </x:c>
      <x:c r="C84" s="28" t="str">
        <x:v>Before/after change review</x:v>
      </x:c>
      <x:c r="D84" s="28" t="str">
        <x:v>Implemented</x:v>
      </x:c>
      <x:c r="E84" s="28" t="str">
        <x:v>Partial</x:v>
      </x:c>
      <x:c r="F84" s="28" t="str">
        <x:v>code-review</x:v>
      </x:c>
      <x:c r="G84" s="28" t="str">
        <x:v>Local file review is implemented; network configuration impact/rollback and execution approval remain absent.</x:v>
      </x:c>
      <x:c r="H84" s="28" t="str">
        <x:v>Integrate exact network target/diff/impact and approval receipt flow.</x:v>
      </x:c>
      <x:c r="I84" s="28" t="str">
        <x:v>No network configuration calls were made.</x:v>
      </x:c>
      <x:c r="J84" s="28" t="str">
        <x:v>audit_041_079/fresh-evidence.json; polished-files.js:123-170; polished-evidence-tools.js:243-380</x:v>
      </x:c>
    </x:row>
    <x:row r="85" ht="62" customHeight="1">
      <x:c r="A85" s="36" t="str">
        <x:v>UX-073</x:v>
      </x:c>
      <x:c r="B85" s="33" t="str">
        <x:v>Review</x:v>
      </x:c>
      <x:c r="C85" s="33" t="str">
        <x:v>Inline evidence annotations</x:v>
      </x:c>
      <x:c r="D85" s="33" t="str">
        <x:v>Verified</x:v>
      </x:c>
      <x:c r="E85" s="33" t="str">
        <x:v>Partial</x:v>
      </x:c>
      <x:c r="F85" s="33" t="str">
        <x:v>fresh-browser</x:v>
      </x:c>
      <x:c r="G85" s="33" t="str">
        <x:v>An annotation saved with message evidence identity and persisted locally, but stale-result rejection, discard, and failed-save draft retention were not exercised.</x:v>
      </x:c>
      <x:c r="H85" s="33" t="str">
        <x:v>Run stale, discard, and save-failure fixtures and verify append-only identity binding.</x:v>
      </x:c>
      <x:c r="I85" s="33" t="str">
        <x:v>Only the successful save path was freshly tested.</x:v>
      </x:c>
      <x:c r="J85" s="33" t="str">
        <x:v>audit_041_079/panes-evidence.json; polished-evidence-tools.js:243-380</x:v>
      </x:c>
    </x:row>
    <x:row r="86" ht="49" customHeight="1">
      <x:c r="A86" s="35" t="str">
        <x:v>UX-074</x:v>
      </x:c>
      <x:c r="B86" s="28" t="str">
        <x:v>Review</x:v>
      </x:c>
      <x:c r="C86" s="28" t="str">
        <x:v>Execution approval receipt</x:v>
      </x:c>
      <x:c r="D86" s="28" t="str">
        <x:v>Not started</x:v>
      </x:c>
      <x:c r="E86" s="28" t="str">
        <x:v>Missing</x:v>
      </x:c>
      <x:c r="F86" s="28" t="str">
        <x:v>code-review</x:v>
      </x:c>
      <x:c r="G86" s="28" t="str">
        <x:v>Digest-bound approval adapters exist outside the Aven UI; no integrated general approval receipt control is exposed.</x:v>
      </x:c>
      <x:c r="H86" s="28" t="str">
        <x:v>Integrate receipt UI only after future network write scope is defined.</x:v>
      </x:c>
      <x:c r="I86" s="28" t="str">
        <x:v>No execution or provider calls.</x:v>
      </x:c>
      <x:c r="J86" s="28" t="str">
        <x:v>audit_041_079/fresh-evidence.json; intentgraph/adapters/index.cjs:462-503,570-598; polished.js:359-370</x:v>
      </x:c>
    </x:row>
    <x:row r="87" ht="49" customHeight="1">
      <x:c r="A87" s="36" t="str">
        <x:v>UX-075</x:v>
      </x:c>
      <x:c r="B87" s="33" t="str">
        <x:v>Review</x:v>
      </x:c>
      <x:c r="C87" s="33" t="str">
        <x:v>Git stage, commit and PR controls</x:v>
      </x:c>
      <x:c r="D87" s="33" t="str">
        <x:v>Not started</x:v>
      </x:c>
      <x:c r="E87" s="33" t="str">
        <x:v>Missing</x:v>
      </x:c>
      <x:c r="F87" s="33" t="str">
        <x:v>code-review</x:v>
      </x:c>
      <x:c r="G87" s="33" t="str">
        <x:v>No Git stage, commit, or PR control is present in the Aven shell.</x:v>
      </x:c>
      <x:c r="H87" s="33" t="str">
        <x:v>Defer until configuration-as-code becomes a primary workflow.</x:v>
      </x:c>
      <x:c r="I87" s="33" t="str">
        <x:v>No Git operation was attempted.</x:v>
      </x:c>
      <x:c r="J87" s="33" t="str">
        <x:v>audit_041_079/fresh-evidence.json; polished.html; polished.js; intentgraph/adapters/index.cjs:462-503,570-598</x:v>
      </x:c>
    </x:row>
    <x:row r="88" ht="49" customHeight="1">
      <x:c r="A88" s="35" t="str">
        <x:v>UX-076</x:v>
      </x:c>
      <x:c r="B88" s="28" t="str">
        <x:v>Network</x:v>
      </x:c>
      <x:c r="C88" s="28" t="str">
        <x:v>Device inventory selection</x:v>
      </x:c>
      <x:c r="D88" s="28" t="str">
        <x:v>Not started</x:v>
      </x:c>
      <x:c r="E88" s="28" t="str">
        <x:v>Partial</x:v>
      </x:c>
      <x:c r="F88" s="28" t="str">
        <x:v>fresh-browser</x:v>
      </x:c>
      <x:c r="G88" s="28" t="str">
        <x:v>Backend inventory and diagnostics pane are present, but the composer has no exact device selection control.</x:v>
      </x:c>
      <x:c r="H88" s="28" t="str">
        <x:v>Expose selected device IDs/connection state before diagnostics.</x:v>
      </x:c>
      <x:c r="I88" s="28" t="str">
        <x:v>Inventory route was mocked and no device call was made.</x:v>
      </x:c>
      <x:c r="J88" s="28" t="str">
        <x:v>audit_041_079/network-semantics.json; polished.js:613-638</x:v>
      </x:c>
    </x:row>
    <x:row r="89" ht="49" customHeight="1">
      <x:c r="A89" s="36" t="str">
        <x:v>UX-077</x:v>
      </x:c>
      <x:c r="B89" s="33" t="str">
        <x:v>Network</x:v>
      </x:c>
      <x:c r="C89" s="33" t="str">
        <x:v>Read-only scope visibility</x:v>
      </x:c>
      <x:c r="D89" s="33" t="str">
        <x:v>Verified</x:v>
      </x:c>
      <x:c r="E89" s="33" t="str">
        <x:v>Verified (scoped)</x:v>
      </x:c>
      <x:c r="F89" s="33" t="str">
        <x:v>fresh-browser</x:v>
      </x:c>
      <x:c r="G89" s="33" t="str">
        <x:v>Read-only and Plan scope text were visible; Plan exposed no tools and nested FAILURE remained a failure outcome.</x:v>
      </x:c>
      <x:c r="H89" s="33" t="str">
        <x:v>Keep scope labels tied to runtime capability state.</x:v>
      </x:c>
      <x:c r="I89" s="33" t="str">
        <x:v>No live device call or enforcement backend was used.</x:v>
      </x:c>
      <x:c r="J89" s="33" t="str">
        <x:v>audit_041_079/network-semantics.json; polished.js:613-638; polished-run-state.js</x:v>
      </x:c>
    </x:row>
    <x:row r="90" ht="49" customHeight="1">
      <x:c r="A90" s="35" t="str">
        <x:v>UX-078</x:v>
      </x:c>
      <x:c r="B90" s="28" t="str">
        <x:v>Network</x:v>
      </x:c>
      <x:c r="C90" s="28" t="str">
        <x:v>Evidence provenance and timestamps</x:v>
      </x:c>
      <x:c r="D90" s="28" t="str">
        <x:v>Verified</x:v>
      </x:c>
      <x:c r="E90" s="28" t="str">
        <x:v>Partial</x:v>
      </x:c>
      <x:c r="F90" s="28" t="str">
        <x:v>fresh-browser</x:v>
      </x:c>
      <x:c r="G90" s="28" t="str">
        <x:v>Fresh fixture and live saved messages expose run IDs, source/model and raw command metadata separately from narrative.</x:v>
      </x:c>
      <x:c r="H90" s="28" t="str">
        <x:v>Verify exported/copied records preserve complete original provenance.</x:v>
      </x:c>
      <x:c r="I90" s="28" t="str">
        <x:v>Exact copied/exported evidence provenance across all timestamps and commands was not asserted.</x:v>
      </x:c>
      <x:c r="J90" s="28" t="str">
        <x:v>root-ui-observations.json; audit_041_079/network-semantics.json</x:v>
      </x:c>
    </x:row>
    <x:row r="91" ht="49" customHeight="1">
      <x:c r="A91" s="36" t="str">
        <x:v>UX-079</x:v>
      </x:c>
      <x:c r="B91" s="33" t="str">
        <x:v>Network</x:v>
      </x:c>
      <x:c r="C91" s="33" t="str">
        <x:v>Success versus healthy status</x:v>
      </x:c>
      <x:c r="D91" s="33" t="str">
        <x:v>Verified</x:v>
      </x:c>
      <x:c r="E91" s="33" t="str">
        <x:v>Verified (scoped)</x:v>
      </x:c>
      <x:c r="F91" s="33" t="str">
        <x:v>fresh-browser</x:v>
      </x:c>
      <x:c r="G91" s="33" t="str">
        <x:v>Nested diagnostic FAILURE overrode top-level SUCCESS and the UI stated that command completion does not establish device health.</x:v>
      </x:c>
      <x:c r="H91" s="33" t="str">
        <x:v>Retain outcome/health separation coverage.</x:v>
      </x:c>
      <x:c r="I91" s="33" t="str">
        <x:v>The device health conclusion is fixture-driven.</x:v>
      </x:c>
      <x:c r="J91" s="33" t="str">
        <x:v>audit_041_079/network-semantics.json; polished-run-state.js; polished.js:319-370</x:v>
      </x:c>
    </x:row>
    <x:row r="92" ht="75" customHeight="1">
      <x:c r="A92" s="35" t="str">
        <x:v>UX-080</x:v>
      </x:c>
      <x:c r="B92" s="28" t="str">
        <x:v>Network</x:v>
      </x:c>
      <x:c r="C92" s="28" t="str">
        <x:v>Scope, impact and rollback preview</x:v>
      </x:c>
      <x:c r="D92" s="28" t="str">
        <x:v>Not started</x:v>
      </x:c>
      <x:c r="E92" s="28" t="str">
        <x:v>Missing</x:v>
      </x:c>
      <x:c r="F92" s="28" t="str">
        <x:v>Code + scoped fixture</x:v>
      </x:c>
      <x:c r="G92" s="28" t="str">
        <x:v>No complete state-changing workflow; local revert is chat-history only.</x:v>
      </x:c>
      <x:c r="H92" s="28" t="str">
        <x:v>Implement or investigate the missing acceptance slice.</x:v>
      </x:c>
      <x:c r="I92" s="28" t="str">
        <x:v>No state-changing workflow is present to exercise.</x:v>
      </x:c>
      <x:c r="J92" s="28" t="str">
        <x:v>audit_080_115/static-audit.json; audit_080_115/module-audit.json; audit_080_115/browser-audit.json; acceptance: Review displays affected devices and rollback limits; chat revert never substitutes for device rollback.</x:v>
      </x:c>
    </x:row>
    <x:row r="93" ht="62" customHeight="1">
      <x:c r="A93" s="36" t="str">
        <x:v>UX-081</x:v>
      </x:c>
      <x:c r="B93" s="33" t="str">
        <x:v>Network</x:v>
      </x:c>
      <x:c r="C93" s="33" t="str">
        <x:v>Comparison of diagnostic runs</x:v>
      </x:c>
      <x:c r="D93" s="33" t="str">
        <x:v>Verified</x:v>
      </x:c>
      <x:c r="E93" s="33" t="str">
        <x:v>Partial</x:v>
      </x:c>
      <x:c r="F93" s="33" t="str">
        <x:v>Fresh module fixture + inspected UI</x:v>
      </x:c>
      <x:c r="G93" s="33" t="str">
        <x:v>Evidence normalization preserved target and distinguished missing output from a persisted empty string. Artifacts showed selected-run evidence.</x:v>
      </x:c>
      <x:c r="H93" s="33" t="str">
        <x:v>Run a two-run comparison with different devices/times and missing versus empty output.</x:v>
      </x:c>
      <x:c r="I93" s="33" t="str">
        <x:v>The comparison UI and timestamp labeling across different runs were not exercised.</x:v>
      </x:c>
      <x:c r="J93" s="33" t="str">
        <x:v>audit_080_115/static-audit.json; audit_080_115/module-audit.json; audit_080_115/browser-audit.json; acceptance: Different devices/times are labeled; missing results are not represented as zero change.</x:v>
      </x:c>
    </x:row>
    <x:row r="94" ht="62" customHeight="1">
      <x:c r="A94" s="35" t="str">
        <x:v>UX-082</x:v>
      </x:c>
      <x:c r="B94" s="28" t="str">
        <x:v>Network</x:v>
      </x:c>
      <x:c r="C94" s="28" t="str">
        <x:v>Topology and visual evidence</x:v>
      </x:c>
      <x:c r="D94" s="28" t="str">
        <x:v>Not started</x:v>
      </x:c>
      <x:c r="E94" s="28" t="str">
        <x:v>Missing</x:v>
      </x:c>
      <x:c r="F94" s="28" t="str">
        <x:v>Code + scoped fixture</x:v>
      </x:c>
      <x:c r="G94" s="28" t="str">
        <x:v>No interactive topology node/link renderer or freshness/inferred-link labeling.</x:v>
      </x:c>
      <x:c r="H94" s="28" t="str">
        <x:v>Implement or investigate the missing acceptance slice.</x:v>
      </x:c>
      <x:c r="I94" s="28" t="str">
        <x:v>No topology data contract or renderer in Aven shell.</x:v>
      </x:c>
      <x:c r="J94" s="28" t="str">
        <x:v>audit_080_115/static-audit.json; audit_080_115/module-audit.json; audit_080_115/browser-audit.json; acceptance: Nodes/links identify source and freshness; inferred links are labeled.</x:v>
      </x:c>
    </x:row>
    <x:row r="95" ht="62" customHeight="1">
      <x:c r="A95" s="36" t="str">
        <x:v>UX-083</x:v>
      </x:c>
      <x:c r="B95" s="33" t="str">
        <x:v>Automation</x:v>
      </x:c>
      <x:c r="C95" s="33" t="str">
        <x:v>Feed / activity inbox</x:v>
      </x:c>
      <x:c r="D95" s="33" t="str">
        <x:v>Verified</x:v>
      </x:c>
      <x:c r="E95" s="33" t="str">
        <x:v>Verified (scoped)</x:v>
      </x:c>
      <x:c r="F95" s="33" t="str">
        <x:v>Fresh isolated test</x:v>
      </x:c>
      <x:c r="G95" s="33" t="str">
        <x:v>feed derives a real run entry and opens its message</x:v>
      </x:c>
      <x:c r="H95" s="33" t="str">
        <x:v>Owner acceptance remains separate.</x:v>
      </x:c>
      <x:c r="I95" s="33" t="str">
        <x:v>Local fixtures only; no provider/device calls.</x:v>
      </x:c>
      <x:c r="J95" s="33" t="str">
        <x:v>audit_080_115/static-audit.json; audit_080_115/module-audit.json; audit_080_115/browser-audit.json; acceptance: Every entry opens relevant run; empty view explains what will appear.</x:v>
      </x:c>
    </x:row>
    <x:row r="96" ht="62" customHeight="1">
      <x:c r="A96" s="35" t="str">
        <x:v>UX-084</x:v>
      </x:c>
      <x:c r="B96" s="28" t="str">
        <x:v>Automation</x:v>
      </x:c>
      <x:c r="C96" s="28" t="str">
        <x:v>Ideas view</x:v>
      </x:c>
      <x:c r="D96" s="28" t="str">
        <x:v>Verified</x:v>
      </x:c>
      <x:c r="E96" s="28" t="str">
        <x:v>Verified (scoped)</x:v>
      </x:c>
      <x:c r="F96" s="28" t="str">
        <x:v>Fresh isolated test</x:v>
      </x:c>
      <x:c r="G96" s="28" t="str">
        <x:v>idea create/archive/restore local flow</x:v>
      </x:c>
      <x:c r="H96" s="28" t="str">
        <x:v>Owner acceptance remains separate.</x:v>
      </x:c>
      <x:c r="I96" s="28" t="str">
        <x:v>Local fixtures only; no provider/device calls.</x:v>
      </x:c>
      <x:c r="J96" s="28" t="str">
        <x:v>audit_080_115/static-audit.json; audit_080_115/module-audit.json; audit_080_115/browser-audit.json; acceptance: No dead-end primary navigation; saved user ideas remain recoverable.</x:v>
      </x:c>
    </x:row>
    <x:row r="97" ht="62" customHeight="1">
      <x:c r="A97" s="36" t="str">
        <x:v>UX-085</x:v>
      </x:c>
      <x:c r="B97" s="33" t="str">
        <x:v>Automation</x:v>
      </x:c>
      <x:c r="C97" s="33" t="str">
        <x:v>Goals and task checklist</x:v>
      </x:c>
      <x:c r="D97" s="33" t="str">
        <x:v>Verified</x:v>
      </x:c>
      <x:c r="E97" s="33" t="str">
        <x:v>Partial</x:v>
      </x:c>
      <x:c r="F97" s="33" t="str">
        <x:v>Code inspection + direct live empty state</x:v>
      </x:c>
      <x:c r="G97" s="33" t="str">
        <x:v>Goals has a local add/checklist surface and states that completion must cite evidence; the source contains an evidence-reference guard.</x:v>
      </x:c>
      <x:c r="H97" s="33" t="str">
        <x:v>Exercise goal creation, valid/invalid evidence completion and reload without implying agent execution.</x:v>
      </x:c>
      <x:c r="I97" s="33" t="str">
        <x:v>The child module check only inspected source text. Completion, persistence and invalid-evidence rejection were not behaviorally tested.</x:v>
      </x:c>
      <x:c r="J97" s="33" t="str">
        <x:v>root-ui-observations.json; polished-workspace-tools.js:390; audit_080_115/audit-080-115.cjs</x:v>
      </x:c>
    </x:row>
    <x:row r="98" ht="62" customHeight="1">
      <x:c r="A98" s="35" t="str">
        <x:v>UX-086</x:v>
      </x:c>
      <x:c r="B98" s="28" t="str">
        <x:v>Automation</x:v>
      </x:c>
      <x:c r="C98" s="28" t="str">
        <x:v>Scheduled investigations</x:v>
      </x:c>
      <x:c r="D98" s="28" t="str">
        <x:v>Not started</x:v>
      </x:c>
      <x:c r="E98" s="28" t="str">
        <x:v>Missing</x:v>
      </x:c>
      <x:c r="F98" s="28" t="str">
        <x:v>Code + scoped fixture</x:v>
      </x:c>
      <x:c r="G98" s="28" t="str">
        <x:v>No durable scheduling UI, next-run or pause/resume workflow.</x:v>
      </x:c>
      <x:c r="H98" s="28" t="str">
        <x:v>Implement or investigate the missing acceptance slice.</x:v>
      </x:c>
      <x:c r="I98" s="28" t="str">
        <x:v>No scheduler surface exists.</x:v>
      </x:c>
      <x:c r="J98" s="28" t="str">
        <x:v>audit_080_115/static-audit.json; audit_080_115/module-audit.json; audit_080_115/browser-audit.json; acceptance: Disabled schedule does not run; next-run time is correct; failures are visible.</x:v>
      </x:c>
    </x:row>
    <x:row r="99" ht="62" customHeight="1">
      <x:c r="A99" s="36" t="str">
        <x:v>UX-087</x:v>
      </x:c>
      <x:c r="B99" s="33" t="str">
        <x:v>Automation</x:v>
      </x:c>
      <x:c r="C99" s="33" t="str">
        <x:v>Completion and attention alerts</x:v>
      </x:c>
      <x:c r="D99" s="33" t="str">
        <x:v>Implemented</x:v>
      </x:c>
      <x:c r="E99" s="33" t="str">
        <x:v>Partial</x:v>
      </x:c>
      <x:c r="F99" s="33" t="str">
        <x:v>Code inspection</x:v>
      </x:c>
      <x:c r="G99" s="33" t="str">
        <x:v>Local completion-notice and mute controls exist; broader system/attention notification delivery is incomplete.</x:v>
      </x:c>
      <x:c r="H99" s="33" t="str">
        <x:v>Test delivery, mute, link targets and deduplication before claiming notification acceptance.</x:v>
      </x:c>
      <x:c r="I99" s="33" t="str">
        <x:v>Mute, correct destination and duplicate-event suppression were not freshly exercised.</x:v>
      </x:c>
      <x:c r="J99" s="33" t="str">
        <x:v>audit_080_115/static-audit.json; audit_080_115/module-audit.json; audit_080_115/browser-audit.json; acceptance: Alert opens correct task and respects mute; duplicate events do not spam.</x:v>
      </x:c>
    </x:row>
    <x:row r="100" ht="62" customHeight="1">
      <x:c r="A100" s="35" t="str">
        <x:v>UX-088</x:v>
      </x:c>
      <x:c r="B100" s="28" t="str">
        <x:v>Automation</x:v>
      </x:c>
      <x:c r="C100" s="28" t="str">
        <x:v>Plugin discovery and management</x:v>
      </x:c>
      <x:c r="D100" s="28" t="str">
        <x:v>Not started</x:v>
      </x:c>
      <x:c r="E100" s="28" t="str">
        <x:v>Missing</x:v>
      </x:c>
      <x:c r="F100" s="28" t="str">
        <x:v>Code + scoped fixture</x:v>
      </x:c>
      <x:c r="G100" s="28" t="str">
        <x:v>Network sandbox inventory is a capability preview, not install/connect/plugin lifecycle management.</x:v>
      </x:c>
      <x:c r="H100" s="28" t="str">
        <x:v>Implement or investigate the missing acceptance slice.</x:v>
      </x:c>
      <x:c r="I100" s="28" t="str">
        <x:v>Local fixtures only; no provider/device calls.</x:v>
      </x:c>
      <x:c r="J100" s="28" t="str">
        <x:v>audit_080_115/static-audit.json; audit_080_115/module-audit.json; audit_080_115/browser-audit.json; acceptance: Unavailable tool cannot be selected; permissions and connection health are visible.</x:v>
      </x:c>
    </x:row>
    <x:row r="101" ht="62" customHeight="1">
      <x:c r="A101" s="36" t="str">
        <x:v>UX-089</x:v>
      </x:c>
      <x:c r="B101" s="33" t="str">
        <x:v>Automation</x:v>
      </x:c>
      <x:c r="C101" s="33" t="str">
        <x:v>Skills and reusable workflows</x:v>
      </x:c>
      <x:c r="D101" s="33" t="str">
        <x:v>Not started</x:v>
      </x:c>
      <x:c r="E101" s="33" t="str">
        <x:v>Missing</x:v>
      </x:c>
      <x:c r="F101" s="33" t="str">
        <x:v>Code + scoped fixture</x:v>
      </x:c>
      <x:c r="G101" s="33" t="str">
        <x:v>No skills/procedure picker with required access and version provenance exists. Local coworker notes do not implement this feature.</x:v>
      </x:c>
      <x:c r="H101" s="33" t="str">
        <x:v>Define a versioned workflow registry and explicit procedure selection/access contract.</x:v>
      </x:c>
      <x:c r="I101" s="33" t="str">
        <x:v>Local documents exist, but the requested reusable workflow capability is absent.</x:v>
      </x:c>
      <x:c r="J101" s="33" t="str">
        <x:v>audit_080_115/static-audit.json; audit_080_115/module-audit.json; audit_080_115/browser-audit.json; acceptance: Selected procedure identifies required access; version used is traceable.</x:v>
      </x:c>
    </x:row>
    <x:row r="102" ht="62" customHeight="1">
      <x:c r="A102" s="35" t="str">
        <x:v>UX-090</x:v>
      </x:c>
      <x:c r="B102" s="28" t="str">
        <x:v>Automation</x:v>
      </x:c>
      <x:c r="C102" s="28" t="str">
        <x:v>Mobile or remote handoff</x:v>
      </x:c>
      <x:c r="D102" s="28" t="str">
        <x:v>Deferred</x:v>
      </x:c>
      <x:c r="E102" s="28" t="str">
        <x:v>Deferred</x:v>
      </x:c>
      <x:c r="F102" s="28" t="str">
        <x:v>Owner decision</x:v>
      </x:c>
      <x:c r="G102" s="28" t="str">
        <x:v>User explicitly deferred mobile/remote handoff until identity, remote runtime and resumability exist.</x:v>
      </x:c>
      <x:c r="H102" s="28" t="str">
        <x:v>Keep deferred until architecture is implemented.</x:v>
      </x:c>
      <x:c r="I102" s="28" t="str">
        <x:v>Deferred by user decision.</x:v>
      </x:c>
      <x:c r="J102" s="28" t="str">
        <x:v>audit_080_115/static-audit.json; audit_080_115/module-audit.json; audit_080_115/browser-audit.json; acceptance: Handoff preserves context and permissions without concurrent duplicate execution.</x:v>
      </x:c>
    </x:row>
    <x:row r="103" ht="62" customHeight="1">
      <x:c r="A103" s="36" t="str">
        <x:v>UX-091</x:v>
      </x:c>
      <x:c r="B103" s="33" t="str">
        <x:v>Quality</x:v>
      </x:c>
      <x:c r="C103" s="33" t="str">
        <x:v>Keyboard-only operation</x:v>
      </x:c>
      <x:c r="D103" s="33" t="str">
        <x:v>Verified</x:v>
      </x:c>
      <x:c r="E103" s="33" t="str">
        <x:v>Partial</x:v>
      </x:c>
      <x:c r="F103" s="33" t="str">
        <x:v>Fresh isolated test</x:v>
      </x:c>
      <x:c r="G103" s="33" t="str">
        <x:v>Fresh fixtures demonstrated Escape/focus return for selected dialogs and named pane controls.</x:v>
      </x:c>
      <x:c r="H103" s="33" t="str">
        <x:v>Complete keyboard-only navigation through every primary flow.</x:v>
      </x:c>
      <x:c r="I103" s="33" t="str">
        <x:v>A complete keyboard-only tour, focus order and trap audit were not performed.</x:v>
      </x:c>
      <x:c r="J103" s="33" t="str">
        <x:v>audit_080_115/static-audit.json; audit_080_115/module-audit.json; audit_080_115/browser-audit.json; acceptance: Visible focus, logical order, no traps; Escape returns focus correctly.</x:v>
      </x:c>
    </x:row>
    <x:row r="104" ht="62" customHeight="1">
      <x:c r="A104" s="35" t="str">
        <x:v>UX-092</x:v>
      </x:c>
      <x:c r="B104" s="28" t="str">
        <x:v>Quality</x:v>
      </x:c>
      <x:c r="C104" s="28" t="str">
        <x:v>Accessible names and state</x:v>
      </x:c>
      <x:c r="D104" s="28" t="str">
        <x:v>Verified</x:v>
      </x:c>
      <x:c r="E104" s="28" t="str">
        <x:v>Partial</x:v>
      </x:c>
      <x:c r="F104" s="28" t="str">
        <x:v>Fresh isolated test</x:v>
      </x:c>
      <x:c r="G104" s="28" t="str">
        <x:v>Selected coworker and unavailable pane controls expose accessible labels/state in inspected fixtures.</x:v>
      </x:c>
      <x:c r="H104" s="28" t="str">
        <x:v>Verify action names, selected states and running/failure announcements with assistive technology.</x:v>
      </x:c>
      <x:c r="I104" s="28" t="str">
        <x:v>No screen-reader session or complete active-run announcement test was performed.</x:v>
      </x:c>
      <x:c r="J104" s="28" t="str">
        <x:v>audit_080_115/static-audit.json; audit_080_115/module-audit.json; audit_080_115/browser-audit.json; acceptance: Screen reader identifies each action, selected coworker and active run state correctly.</x:v>
      </x:c>
    </x:row>
    <x:row r="105" ht="62" customHeight="1">
      <x:c r="A105" s="36" t="str">
        <x:v>UX-093</x:v>
      </x:c>
      <x:c r="B105" s="33" t="str">
        <x:v>Quality</x:v>
      </x:c>
      <x:c r="C105" s="33" t="str">
        <x:v>Contrast, text scaling and reflow</x:v>
      </x:c>
      <x:c r="D105" s="33" t="str">
        <x:v>Verified</x:v>
      </x:c>
      <x:c r="E105" s="33" t="str">
        <x:v>Unverified</x:v>
      </x:c>
      <x:c r="F105" s="33" t="str">
        <x:v>Code inspection; fresh acceptance not established</x:v>
      </x:c>
      <x:c r="G105" s="33" t="str">
        <x:v>Responsive styling exists, but this audit did not establish measured contrast or usable controls at 200% text scale.</x:v>
      </x:c>
      <x:c r="H105" s="33" t="str">
        <x:v>Measure light/dark contrast and test real 200% text scaling and reflow.</x:v>
      </x:c>
      <x:c r="I105" s="33" t="str">
        <x:v>Historical workbook claims were not treated as fresh contrast/zoom evidence.</x:v>
      </x:c>
      <x:c r="J105" s="33" t="str">
        <x:v>audit_080_115/static-audit.json; audit_080_115/module-audit.json; audit_080_115/browser-audit.json; acceptance: At 200% text scale controls remain usable; contrast measured; narrow content reflows.</x:v>
      </x:c>
    </x:row>
    <x:row r="106" ht="62" customHeight="1">
      <x:c r="A106" s="35" t="str">
        <x:v>UX-094</x:v>
      </x:c>
      <x:c r="B106" s="28" t="str">
        <x:v>Quality</x:v>
      </x:c>
      <x:c r="C106" s="28" t="str">
        <x:v>Reduced motion</x:v>
      </x:c>
      <x:c r="D106" s="28" t="str">
        <x:v>Verified</x:v>
      </x:c>
      <x:c r="E106" s="28" t="str">
        <x:v>Unverified</x:v>
      </x:c>
      <x:c r="F106" s="28" t="str">
        <x:v>Code inspection; fresh acceptance not established</x:v>
      </x:c>
      <x:c r="G106" s="28" t="str">
        <x:v>Reduced-motion CSS exists; the current browser run did not reach the intended motion assertion.</x:v>
      </x:c>
      <x:c r="H106" s="28" t="str">
        <x:v>Run a dedicated reduced-motion interaction test.</x:v>
      </x:c>
      <x:c r="I106" s="28" t="str">
        <x:v>No current demonstration that all state changes remain understandable with reduced motion.</x:v>
      </x:c>
      <x:c r="J106" s="28" t="str">
        <x:v>audit_080_115/static-audit.json; audit_080_115/module-audit.json; audit_080_115/browser-audit.json; acceptance: Motion-reduced mode preserves all state changes and cancels decorative animation.</x:v>
      </x:c>
    </x:row>
    <x:row r="107" ht="62" customHeight="1">
      <x:c r="A107" s="36" t="str">
        <x:v>UX-095</x:v>
      </x:c>
      <x:c r="B107" s="33" t="str">
        <x:v>Quality</x:v>
      </x:c>
      <x:c r="C107" s="33" t="str">
        <x:v>Hover, focus and touch menus</x:v>
      </x:c>
      <x:c r="D107" s="33" t="str">
        <x:v>Verified</x:v>
      </x:c>
      <x:c r="E107" s="33" t="str">
        <x:v>Partial</x:v>
      </x:c>
      <x:c r="F107" s="33" t="str">
        <x:v>Code review only</x:v>
      </x:c>
      <x:c r="G107" s="33" t="str">
        <x:v>Selected menus opened and Escape/focus paths were exercised in browser fixtures.</x:v>
      </x:c>
      <x:c r="H107" s="33" t="str">
        <x:v>Test menus by pointer, keyboard and touch at viewport edges.</x:v>
      </x:c>
      <x:c r="I107" s="33" t="str">
        <x:v>Touch, hover persistence and viewport-boundary behavior were not comprehensively checked.</x:v>
      </x:c>
      <x:c r="J107" s="33" t="str">
        <x:v>audit_080_115/static-audit.json; audit_080_115/module-audit.json; audit_080_115/browser-audit.json; acceptance: Menus stay within viewport, remain operable on hover, close predictably and restore focus.</x:v>
      </x:c>
    </x:row>
    <x:row r="108" ht="49" customHeight="1">
      <x:c r="A108" s="35" t="str">
        <x:v>UX-096</x:v>
      </x:c>
      <x:c r="B108" s="28" t="str">
        <x:v>Quality</x:v>
      </x:c>
      <x:c r="C108" s="28" t="str">
        <x:v>Responsive pane layout</x:v>
      </x:c>
      <x:c r="D108" s="28" t="str">
        <x:v>Verified</x:v>
      </x:c>
      <x:c r="E108" s="28" t="str">
        <x:v>Partial</x:v>
      </x:c>
      <x:c r="F108" s="28" t="str">
        <x:v>Code review only</x:v>
      </x:c>
      <x:c r="G108" s="28" t="str">
        <x:v>Initial shell geometry checks passed at 1440/1024/768/390px; selected panes also opened in the live app.</x:v>
      </x:c>
      <x:c r="H108" s="28" t="str">
        <x:v>Verify open panes, composer, menus and contained table scroll under narrow/zoomed layouts.</x:v>
      </x:c>
      <x:c r="I108" s="28" t="str">
        <x:v>This does not establish every pane at narrow widths or 200% zoom. No layout fix was made in this audit.</x:v>
      </x:c>
      <x:c r="J108" s="28" t="str">
        <x:v>audit_001_040/fresh-evidence.json; root-ui-observations.json</x:v>
      </x:c>
    </x:row>
    <x:row r="109" ht="62" customHeight="1">
      <x:c r="A109" s="36" t="str">
        <x:v>UX-097</x:v>
      </x:c>
      <x:c r="B109" s="33" t="str">
        <x:v>Quality</x:v>
      </x:c>
      <x:c r="C109" s="33" t="str">
        <x:v>Empty and unavailable states</x:v>
      </x:c>
      <x:c r="D109" s="33" t="str">
        <x:v>Not started</x:v>
      </x:c>
      <x:c r="E109" s="33" t="str">
        <x:v>Partial</x:v>
      </x:c>
      <x:c r="F109" s="33" t="str">
        <x:v>Code + scoped fixture</x:v>
      </x:c>
      <x:c r="G109" s="33" t="str">
        <x:v>empty feed and unavailable session messages are explicit</x:v>
      </x:c>
      <x:c r="H109" s="33" t="str">
        <x:v>Implement or investigate the missing acceptance slice.</x:v>
      </x:c>
      <x:c r="I109" s="33" t="str">
        <x:v>Local fixtures only; no provider/device calls.</x:v>
      </x:c>
      <x:c r="J109" s="33" t="str">
        <x:v>audit_080_115/static-audit.json; audit_080_115/module-audit.json; audit_080_115/browser-audit.json; acceptance: Every visible action has a real result or an accurate reason it is unavailable.</x:v>
      </x:c>
    </x:row>
    <x:row r="110" ht="49" customHeight="1">
      <x:c r="A110" s="35" t="str">
        <x:v>UX-098</x:v>
      </x:c>
      <x:c r="B110" s="28" t="str">
        <x:v>Quality</x:v>
      </x:c>
      <x:c r="C110" s="28" t="str">
        <x:v>Recoverable errors</x:v>
      </x:c>
      <x:c r="D110" s="28" t="str">
        <x:v>Not started</x:v>
      </x:c>
      <x:c r="E110" s="28" t="str">
        <x:v>Defect</x:v>
      </x:c>
      <x:c r="F110" s="28" t="str">
        <x:v>Fresh isolated browser failure/reload test</x:v>
      </x:c>
      <x:c r="G110" s="28" t="str">
        <x:v>At least one recovery flow fails: coworker creation reports storage failure yet leaves persisted partial state that prevents same-name retry.</x:v>
      </x:c>
      <x:c r="H110" s="28" t="str">
        <x:v>Fix transactional creation/retry, then cover offline, timeout, cancellation and provider failure independently.</x:v>
      </x:c>
      <x:c r="I110" s="28" t="str">
        <x:v>This finding proves a specific recoverability defect, not that all error paths fail.</x:v>
      </x:c>
      <x:c r="J110" s="28" t="str">
        <x:v>root-storage-evidence.json; polished.js:807</x:v>
      </x:c>
    </x:row>
    <x:row r="111" ht="62" customHeight="1">
      <x:c r="A111" s="36" t="str">
        <x:v>UX-099</x:v>
      </x:c>
      <x:c r="B111" s="33" t="str">
        <x:v>Quality</x:v>
      </x:c>
      <x:c r="C111" s="33" t="str">
        <x:v>Long transcript performance</x:v>
      </x:c>
      <x:c r="D111" s="33" t="str">
        <x:v>Not started</x:v>
      </x:c>
      <x:c r="E111" s="33" t="str">
        <x:v>Unverified</x:v>
      </x:c>
      <x:c r="F111" s="33" t="str">
        <x:v>No completed fresh performance test</x:v>
      </x:c>
      <x:c r="G111" s="33" t="str">
        <x:v>No completed large-history performance/selection/anchor result was established in this audit.</x:v>
      </x:c>
      <x:c r="H111" s="33" t="str">
        <x:v>Measure responsiveness and retained scroll/selection anchors with representative long transcripts.</x:v>
      </x:c>
      <x:c r="I111" s="33" t="str">
        <x:v>A browser-control timeout occurred on the live artifact view; cause was not isolated and is not counted as a product defect.</x:v>
      </x:c>
      <x:c r="J111" s="33" t="str">
        <x:v>audit_080_115/static-audit.json; audit_080_115/module-audit.json; audit_080_115/browser-audit.json; acceptance: Long chat stays responsive and scrolling does not lose selection or anchors.</x:v>
      </x:c>
    </x:row>
    <x:row r="112" ht="62" customHeight="1">
      <x:c r="A112" s="35" t="str">
        <x:v>UX-100</x:v>
      </x:c>
      <x:c r="B112" s="28" t="str">
        <x:v>Quality</x:v>
      </x:c>
      <x:c r="C112" s="28" t="str">
        <x:v>First-run onboarding</x:v>
      </x:c>
      <x:c r="D112" s="28" t="str">
        <x:v>Not started</x:v>
      </x:c>
      <x:c r="E112" s="28" t="str">
        <x:v>Partial</x:v>
      </x:c>
      <x:c r="F112" s="28" t="str">
        <x:v>Code + scoped fixture</x:v>
      </x:c>
      <x:c r="G112" s="28" t="str">
        <x:v>Coworker creation and welcome exist; setup remains fragmented.</x:v>
      </x:c>
      <x:c r="H112" s="28" t="str">
        <x:v>Implement or investigate the missing acceptance slice.</x:v>
      </x:c>
      <x:c r="I112" s="28" t="str">
        <x:v>Provider/device readiness and selected device are not part of onboarding.</x:v>
      </x:c>
      <x:c r="J112" s="28" t="str">
        <x:v>audit_080_115/static-audit.json; audit_080_115/module-audit.json; audit_080_115/browser-audit.json; acceptance: A new user understands required setup, selected device and next safe action.</x:v>
      </x:c>
    </x:row>
    <x:row r="113" ht="62" customHeight="1">
      <x:c r="A113" s="36" t="str">
        <x:v>UX-101</x:v>
      </x:c>
      <x:c r="B113" s="33" t="str">
        <x:v>Quality</x:v>
      </x:c>
      <x:c r="C113" s="33" t="str">
        <x:v>Saved state and migration integrity</x:v>
      </x:c>
      <x:c r="D113" s="33" t="str">
        <x:v>Verified</x:v>
      </x:c>
      <x:c r="E113" s="33" t="str">
        <x:v>Partial</x:v>
      </x:c>
      <x:c r="F113" s="33" t="str">
        <x:v>Fresh fixture (partial)</x:v>
      </x:c>
      <x:c r="G113" s="33" t="str">
        <x:v>Fresh backup serialization/parse fixture preserved format and active coworker and rejected a reserved private-key field.</x:v>
      </x:c>
      <x:c r="H113" s="33" t="str">
        <x:v>Run an exact before/after migration comparison over the complete saved-state schema.</x:v>
      </x:c>
      <x:c r="I113" s="33" t="str">
        <x:v>It did not prove exact migration preservation of all chats, drafts, queues, avatars and revert history.</x:v>
      </x:c>
      <x:c r="J113" s="33" t="str">
        <x:v>audit_080_115/static-audit.json; audit_080_115/module-audit.json; audit_080_115/browser-audit.json; acceptance: Chats, drafts, queued work, avatars and revert history survive migration exactly.</x:v>
      </x:c>
    </x:row>
    <x:row r="114" ht="62" customHeight="1">
      <x:c r="A114" s="35" t="str">
        <x:v>UX-102</x:v>
      </x:c>
      <x:c r="B114" s="28" t="str">
        <x:v>Quality</x:v>
      </x:c>
      <x:c r="C114" s="28" t="str">
        <x:v>Release identity and diagnostics</x:v>
      </x:c>
      <x:c r="D114" s="28" t="str">
        <x:v>Verified</x:v>
      </x:c>
      <x:c r="E114" s="28" t="str">
        <x:v>Defect</x:v>
      </x:c>
      <x:c r="F114" s="28" t="str">
        <x:v>Fresh isolated browser contradiction + code inspection</x:v>
      </x:c>
      <x:c r="G114" s="28" t="str">
        <x:v>About hard-codes OpenCode / MiMo V2.5 as configured even when refreshed local diagnostics reports configured:false / Not connected.</x:v>
      </x:c>
      <x:c r="H114" s="28" t="str">
        <x:v>Derive About connection identity from the same status snapshot and preserve unknown/unavailable states.</x:v>
      </x:c>
      <x:c r="I114" s="28" t="str">
        <x:v>False configuration was injected in an isolated fixture. The actual local service was configured during live inspection.</x:v>
      </x:c>
      <x:c r="J114" s="28" t="str">
        <x:v>audit_080_115/static-audit.json; audit_080_115/module-audit.json; audit_080_115/browser-audit.json; acceptance: Support report identifies exact build and contains no provider keys.</x:v>
      </x:c>
    </x:row>
    <x:row r="115" ht="62" customHeight="1">
      <x:c r="A115" s="36" t="str">
        <x:v>UX-103</x:v>
      </x:c>
      <x:c r="B115" s="33" t="str">
        <x:v>Quality</x:v>
      </x:c>
      <x:c r="C115" s="33" t="str">
        <x:v>Consistent terminology and icon system</x:v>
      </x:c>
      <x:c r="D115" s="33" t="str">
        <x:v>Verified</x:v>
      </x:c>
      <x:c r="E115" s="33" t="str">
        <x:v>Partial</x:v>
      </x:c>
      <x:c r="F115" s="33" t="str">
        <x:v>Fresh isolated test</x:v>
      </x:c>
      <x:c r="G115" s="33" t="str">
        <x:v>Initial selected coworker identity is consistent across profile and chat; renaming a direct conversation causes the header mismatch in UX-011.</x:v>
      </x:c>
      <x:c r="H115" s="33" t="str">
        <x:v>Fix UX-011 and review remaining object names/icons across navigation and settings.</x:v>
      </x:c>
      <x:c r="I115" s="33" t="str">
        <x:v>Full terminology/icon coverage was not audited; a specific identity inconsistency is confirmed.</x:v>
      </x:c>
      <x:c r="J115" s="33" t="str">
        <x:v>audit_080_115/static-audit.json; audit_080_115/module-audit.json; audit_080_115/browser-audit.json; acceptance: Same object keeps same name across sidebar, profile, Settings and composer.</x:v>
      </x:c>
    </x:row>
    <x:row r="116" ht="62" customHeight="1">
      <x:c r="A116" s="35" t="str">
        <x:v>UX-104</x:v>
      </x:c>
      <x:c r="B116" s="28" t="str">
        <x:v>Quality</x:v>
      </x:c>
      <x:c r="C116" s="28" t="str">
        <x:v>Multiple customer isolation UX</x:v>
      </x:c>
      <x:c r="D116" s="28" t="str">
        <x:v>Deferred</x:v>
      </x:c>
      <x:c r="E116" s="28" t="str">
        <x:v>Deferred</x:v>
      </x:c>
      <x:c r="F116" s="28" t="str">
        <x:v>Owner decision</x:v>
      </x:c>
      <x:c r="G116" s="28" t="str">
        <x:v>User explicitly deferred customer isolation until identity/tenancy/access architecture exists.</x:v>
      </x:c>
      <x:c r="H116" s="28" t="str">
        <x:v>Keep deferred until architecture is implemented.</x:v>
      </x:c>
      <x:c r="I116" s="28" t="str">
        <x:v>Deferred by user decision.</x:v>
      </x:c>
      <x:c r="J116" s="28" t="str">
        <x:v>audit_080_115/static-audit.json; audit_080_115/module-audit.json; audit_080_115/browser-audit.json; acceptance: Wrong-customer data is inaccessible; workspace/access context is explicit.</x:v>
      </x:c>
    </x:row>
    <x:row r="117" ht="62" customHeight="1">
      <x:c r="A117" s="36" t="str">
        <x:v>UX-105</x:v>
      </x:c>
      <x:c r="B117" s="33" t="str">
        <x:v>Quality</x:v>
      </x:c>
      <x:c r="C117" s="33" t="str">
        <x:v>Professional finish acceptance</x:v>
      </x:c>
      <x:c r="D117" s="33" t="str">
        <x:v>Not started</x:v>
      </x:c>
      <x:c r="E117" s="33" t="str">
        <x:v>Unverified</x:v>
      </x:c>
      <x:c r="F117" s="33" t="str">
        <x:v>Code + scoped fixture</x:v>
      </x:c>
      <x:c r="G117" s="33" t="str">
        <x:v>Owner acceptance is unavailable; automated/rendered checks are separate from the owner gate.</x:v>
      </x:c>
      <x:c r="H117" s="33" t="str">
        <x:v>Implement or investigate the missing acceptance slice.</x:v>
      </x:c>
      <x:c r="I117" s="33" t="str">
        <x:v>Owner acceptance unavailable.</x:v>
      </x:c>
      <x:c r="J117" s="33" t="str">
        <x:v>audit_080_115/static-audit.json; audit_080_115/module-audit.json; audit_080_115/browser-audit.json; acceptance: Code check, rendered behavior and owner acceptance have separate recorded outcomes.</x:v>
      </x:c>
    </x:row>
    <x:row r="118" ht="62" customHeight="1">
      <x:c r="A118" s="35" t="str">
        <x:v>UX-106</x:v>
      </x:c>
      <x:c r="B118" s="28" t="str">
        <x:v>Network</x:v>
      </x:c>
      <x:c r="C118" s="28" t="str">
        <x:v>Live inventory and read-only diagnostics</x:v>
      </x:c>
      <x:c r="D118" s="28" t="str">
        <x:v>Verified</x:v>
      </x:c>
      <x:c r="E118" s="28" t="str">
        <x:v>Verified (scoped)</x:v>
      </x:c>
      <x:c r="F118" s="28" t="str">
        <x:v>Fresh isolated test</x:v>
      </x:c>
      <x:c r="G118" s="28" t="str">
        <x:v>allowlisted read-only exact target fixture</x:v>
      </x:c>
      <x:c r="H118" s="28" t="str">
        <x:v>Owner acceptance remains separate.</x:v>
      </x:c>
      <x:c r="I118" s="28" t="str">
        <x:v>Local fixtures only; no provider/device calls.</x:v>
      </x:c>
      <x:c r="J118" s="28" t="str">
        <x:v>audit_080_115/static-audit.json; audit_080_115/module-audit.json; audit_080_115/browser-audit.json; acceptance: Only supported read-only commands execute; failed transport cannot be shown as healthy.</x:v>
      </x:c>
    </x:row>
    <x:row r="119" ht="75" customHeight="1">
      <x:c r="A119" s="36" t="str">
        <x:v>UX-107</x:v>
      </x:c>
      <x:c r="B119" s="33" t="str">
        <x:v>Network</x:v>
      </x:c>
      <x:c r="C119" s="33" t="str">
        <x:v>Remote command cancellation limits</x:v>
      </x:c>
      <x:c r="D119" s="33" t="str">
        <x:v>Verified</x:v>
      </x:c>
      <x:c r="E119" s="33" t="str">
        <x:v>Partial</x:v>
      </x:c>
      <x:c r="F119" s="33" t="str">
        <x:v>Fresh fixture (partial)</x:v>
      </x:c>
      <x:c r="G119" s="33" t="str">
        <x:v>Fresh fixture covers UNKNOWN mapping and control stripping; full Stop behavior and duplicate-retry prevention were not exercised.</x:v>
      </x:c>
      <x:c r="H119" s="33" t="str">
        <x:v>Implement or investigate the missing acceptance slice.</x:v>
      </x:c>
      <x:c r="I119" s="33" t="str">
        <x:v>Stop UX and duplicate-retry prevention were not freshly exercised; no provider/device calls.</x:v>
      </x:c>
      <x:c r="J119" s="33" t="str">
        <x:v>audit_080_115/static-audit.json; audit_080_115/module-audit.json; audit_080_115/browser-audit.json; acceptance: Stop records UNKNOWN when remote completion cannot be established; no automatic duplicate retry.</x:v>
      </x:c>
    </x:row>
    <x:row r="120" ht="49" customHeight="1">
      <x:c r="A120" s="35" t="str">
        <x:v>UX-108</x:v>
      </x:c>
      <x:c r="B120" s="28" t="str">
        <x:v>History</x:v>
      </x:c>
      <x:c r="C120" s="28" t="str">
        <x:v>Context truncation disclosure</x:v>
      </x:c>
      <x:c r="D120" s="28" t="str">
        <x:v>Verified</x:v>
      </x:c>
      <x:c r="E120" s="28" t="str">
        <x:v>Partial</x:v>
      </x:c>
      <x:c r="F120" s="28" t="str">
        <x:v>Code review only</x:v>
      </x:c>
      <x:c r="G120" s="28" t="str">
        <x:v>Live/context fixture discloses bounded model context and says full history remains saved; code selects a bounded history window.</x:v>
      </x:c>
      <x:c r="H120" s="28" t="str">
        <x:v>Compare displayed truncation counts with actual serialized request context and retained history.</x:v>
      </x:c>
      <x:c r="I120" s="28" t="str">
        <x:v>A fresh over-limit request/omission-count comparison was not completed.</x:v>
      </x:c>
      <x:c r="J120" s="28" t="str">
        <x:v>audit_001_040/fresh-evidence.json; polished.js:125; root-ui-observations.json</x:v>
      </x:c>
    </x:row>
    <x:row r="121" ht="49" customHeight="1">
      <x:c r="A121" s="36" t="str">
        <x:v>UX-109</x:v>
      </x:c>
      <x:c r="B121" s="33" t="str">
        <x:v>Coworkers</x:v>
      </x:c>
      <x:c r="C121" s="33" t="str">
        <x:v>Local notes versus model memory</x:v>
      </x:c>
      <x:c r="D121" s="33" t="str">
        <x:v>Verified</x:v>
      </x:c>
      <x:c r="E121" s="33" t="str">
        <x:v>Partial</x:v>
      </x:c>
      <x:c r="F121" s="33" t="str">
        <x:v>Code review only</x:v>
      </x:c>
      <x:c r="G121" s="33" t="str">
        <x:v>Live profile and document UI explicitly disclose that SOUL/MEMORY are local notes and are not included in model requests.</x:v>
      </x:c>
      <x:c r="H121" s="33" t="str">
        <x:v>Capture an isolated next-request payload after note editing and verify the disclosure matches it.</x:v>
      </x:c>
      <x:c r="I121" s="33" t="str">
        <x:v>This audit did not save a note and inspect the next model request to verify exclusion.</x:v>
      </x:c>
      <x:c r="J121" s="33" t="str">
        <x:v>root-ui-observations.json; audit_041_079/history-settings.json; polished.js</x:v>
      </x:c>
    </x:row>
    <x:row r="122" ht="75" customHeight="1">
      <x:c r="A122" s="35" t="str">
        <x:v>UX-110</x:v>
      </x:c>
      <x:c r="B122" s="28" t="str">
        <x:v>Messages</x:v>
      </x:c>
      <x:c r="C122" s="28" t="str">
        <x:v>Safe links and inline media</x:v>
      </x:c>
      <x:c r="D122" s="28" t="str">
        <x:v>Implemented</x:v>
      </x:c>
      <x:c r="E122" s="28" t="str">
        <x:v>Partial</x:v>
      </x:c>
      <x:c r="F122" s="28" t="str">
        <x:v>Code + scoped fixture</x:v>
      </x:c>
      <x:c r="G122" s="28" t="str">
        <x:v>Safe text/link rendering exists; inline media and attachment reading remain pending.</x:v>
      </x:c>
      <x:c r="H122" s="28" t="str">
        <x:v>Implement or investigate the missing acceptance slice.</x:v>
      </x:c>
      <x:c r="I122" s="28" t="str">
        <x:v>Inline media and attachment reading remain pending.</x:v>
      </x:c>
      <x:c r="J122" s="28" t="str">
        <x:v>audit_080_115/static-audit.json; audit_080_115/module-audit.json; audit_080_115/browser-audit.json; acceptance: Links open correct source; unsupported media remains a labeled file; raw CLI remains unchanged.</x:v>
      </x:c>
    </x:row>
    <x:row r="123" ht="62" customHeight="1">
      <x:c r="A123" s="36" t="str">
        <x:v>UX-111</x:v>
      </x:c>
      <x:c r="B123" s="33" t="str">
        <x:v>Navigation</x:v>
      </x:c>
      <x:c r="C123" s="33" t="str">
        <x:v>Mark read or unread</x:v>
      </x:c>
      <x:c r="D123" s="33" t="str">
        <x:v>Verified</x:v>
      </x:c>
      <x:c r="E123" s="33" t="str">
        <x:v>Unverified</x:v>
      </x:c>
      <x:c r="F123" s="33" t="str">
        <x:v>Code inspection; browser acceptance incomplete</x:v>
      </x:c>
      <x:c r="G123" s="33" t="str">
        <x:v>Mark read/unread handlers exist, but the fresh persistence/opening test did not complete.</x:v>
      </x:c>
      <x:c r="H123" s="33" t="str">
        <x:v>Exercise mark unread, reload, open and active-run preservation in a dedicated fixture.</x:v>
      </x:c>
      <x:c r="I123" s="33" t="str">
        <x:v>No fresh proof that unread state survives reload or that opening cannot disturb an active run.</x:v>
      </x:c>
      <x:c r="J123" s="33" t="str">
        <x:v>audit_080_115/static-audit.json; audit_080_115/module-audit.json; audit_080_115/browser-audit.json; acceptance: Unread state persists correctly; opening a conversation never cancels work.</x:v>
      </x:c>
    </x:row>
    <x:row r="124" ht="62" customHeight="1">
      <x:c r="A124" s="35" t="str">
        <x:v>UX-112</x:v>
      </x:c>
      <x:c r="B124" s="28" t="str">
        <x:v>Settings</x:v>
      </x:c>
      <x:c r="C124" s="28" t="str">
        <x:v>Language support disclosure</x:v>
      </x:c>
      <x:c r="D124" s="28" t="str">
        <x:v>Verified</x:v>
      </x:c>
      <x:c r="E124" s="28" t="str">
        <x:v>Verified (scoped)</x:v>
      </x:c>
      <x:c r="F124" s="28" t="str">
        <x:v>Fresh isolated test</x:v>
      </x:c>
      <x:c r="G124" s="28" t="str">
        <x:v>Fresh UI check showed English (system fallback) and a disabled unsupported-language choice.</x:v>
      </x:c>
      <x:c r="H124" s="28" t="str">
        <x:v>Owner acceptance remains separate.</x:v>
      </x:c>
      <x:c r="I124" s="28" t="str">
        <x:v>This verifies honest disclosure; additional language translations are not implemented.</x:v>
      </x:c>
      <x:c r="J124" s="28" t="str">
        <x:v>audit_080_115/static-audit.json; audit_080_115/module-audit.json; audit_080_115/browser-audit.json; acceptance: Language choice never appears applied while labels remain unchanged.</x:v>
      </x:c>
    </x:row>
    <x:row r="125" ht="75" customHeight="1">
      <x:c r="A125" s="36" t="str">
        <x:v>UX-113</x:v>
      </x:c>
      <x:c r="B125" s="33" t="str">
        <x:v>Execution</x:v>
      </x:c>
      <x:c r="C125" s="33" t="str">
        <x:v>Serial capacity feedback</x:v>
      </x:c>
      <x:c r="D125" s="33" t="str">
        <x:v>Verified</x:v>
      </x:c>
      <x:c r="E125" s="33" t="str">
        <x:v>Partial</x:v>
      </x:c>
      <x:c r="F125" s="33" t="str">
        <x:v>Code + scoped fixture</x:v>
      </x:c>
      <x:c r="G125" s="33" t="str">
        <x:v>Serial capacity feedback identifies the active coworker and offers navigation to the active conversation while preserving independent drafts and FIFO queue behavior.</x:v>
      </x:c>
      <x:c r="H125" s="33" t="str">
        <x:v>Implement or investigate the missing acceptance slice.</x:v>
      </x:c>
      <x:c r="I125" s="33" t="str">
        <x:v>Full serial multi-conversation queue UI was not exercised in this bounded run.</x:v>
      </x:c>
      <x:c r="J125" s="33" t="str">
        <x:v>audit_080_115/static-audit.json; audit_080_115/module-audit.json; audit_080_115/browser-audit.json; acceptance: Second conversation shows why it waits and identifies active work without losing its draft.</x:v>
      </x:c>
    </x:row>
    <x:row r="126" ht="62" customHeight="1">
      <x:c r="A126" s="35" t="str">
        <x:v>UX-114</x:v>
      </x:c>
      <x:c r="B126" s="28" t="str">
        <x:v>Outputs</x:v>
      </x:c>
      <x:c r="C126" s="28" t="str">
        <x:v>Existing approval tooling integration</x:v>
      </x:c>
      <x:c r="D126" s="28" t="str">
        <x:v>Not started</x:v>
      </x:c>
      <x:c r="E126" s="28" t="str">
        <x:v>Missing</x:v>
      </x:c>
      <x:c r="F126" s="28" t="str">
        <x:v>Code + scoped fixture</x:v>
      </x:c>
      <x:c r="G126" s="28" t="str">
        <x:v>IntentGraph approval tooling is a separate module; no Aven preview/execute digest integration.</x:v>
      </x:c>
      <x:c r="H126" s="28" t="str">
        <x:v>Implement or investigate the missing acceptance slice.</x:v>
      </x:c>
      <x:c r="I126" s="28" t="str">
        <x:v>Local fixtures only; no provider/device calls.</x:v>
      </x:c>
      <x:c r="J126" s="28" t="str">
        <x:v>audit_080_115/static-audit.json; audit_080_115/module-audit.json; audit_080_115/browser-audit.json; acceptance: Aven preview and executed action share the same digest, scope and one-time approval.</x:v>
      </x:c>
    </x:row>
    <x:row r="127" ht="75" customHeight="1">
      <x:c r="A127" s="36" t="str">
        <x:v>UX-115</x:v>
      </x:c>
      <x:c r="B127" s="33" t="str">
        <x:v>History</x:v>
      </x:c>
      <x:c r="C127" s="33" t="str">
        <x:v>Durable raw run records</x:v>
      </x:c>
      <x:c r="D127" s="33" t="str">
        <x:v>Verified</x:v>
      </x:c>
      <x:c r="E127" s="33" t="str">
        <x:v>Verified (scoped)</x:v>
      </x:c>
      <x:c r="F127" s="33" t="str">
        <x:v>Fresh isolated test</x:v>
      </x:c>
      <x:c r="G127" s="33" t="str">
        <x:v>Fresh module fixture preserved raw record content/provenance while stripping private controls. Actual local GET listed four saved runs and retrieved one matching run/chat with 13 events and reply provenance.</x:v>
      </x:c>
      <x:c r="H127" s="33" t="str">
        <x:v>Retain local readback coverage; test crash/retention behavior separately before broader durability claims.</x:v>
      </x:c>
      <x:c r="I127" s="33" t="str">
        <x:v>Existing local records only; no new provider/device run, service restart or cross-device durability test.</x:v>
      </x:c>
      <x:c r="J127" s="33" t="str">
        <x:v>audit_080_115/module-audit.json; root-run-readback.json; root-ui-observations.json</x:v>
      </x:c>
    </x:row>
    <x:row r="130">
      <x:c r="A130" s="37" t="str">
        <x:v>Methodology, observations and tests</x:v>
      </x:c>
    </x:row>
    <x:row r="131" ht="44" customHeight="1">
      <x:c r="A131" s="42" t="str">
        <x:v>Methodology 1</x:v>
      </x:c>
      <x:c r="B131" s="42"/>
      <x:c r="C131" s="27" t="str">
        <x:v>All 115 register rows reviewed against current source and available evidence; targeted isolated Chromium/module tests plus direct control of the running app. This was not 115 complete manual end-to-end acceptance tests.</x:v>
      </x:c>
      <x:c r="D131" s="27"/>
      <x:c r="E131" s="27"/>
      <x:c r="F131" s="27"/>
      <x:c r="G131" s="27"/>
      <x:c r="H131" s="27"/>
      <x:c r="I131" s="27"/>
      <x:c r="J131" s="27"/>
    </x:row>
    <x:row r="132" ht="58" customHeight="1">
      <x:c r="A132" s="42" t="str">
        <x:v>Methodology 2</x:v>
      </x:c>
      <x:c r="B132" s="42"/>
      <x:c r="C132" s="27" t="str">
        <x:v>Verified (scoped): named tested behavior passed. Partial: useful implementation exists but capability or acceptance coverage is incomplete. Missing: no matching implemented workflow. Defect: reproduced incorrect behavior. Unverified: insufficient current evidence. Deferred: original register scope decision.</x:v>
      </x:c>
      <x:c r="D132" s="27"/>
      <x:c r="E132" s="27"/>
      <x:c r="F132" s="27"/>
      <x:c r="G132" s="27"/>
      <x:c r="H132" s="27"/>
      <x:c r="I132" s="27"/>
      <x:c r="J132" s="27"/>
    </x:row>
    <x:row r="133" ht="44" customHeight="1">
      <x:c r="A133" s="42" t="str">
        <x:v>Methodology 3</x:v>
      </x:c>
      <x:c r="B133" s="42"/>
      <x:c r="C133" s="27" t="str">
        <x:v>Fixtures used new browser contexts and intercepted external requests. No provider/device execution, credential retrieval, real OS folder permission grant or disk editing. Read-only existing local run records were retrieved separately.</x:v>
      </x:c>
      <x:c r="D133" s="27"/>
      <x:c r="E133" s="27"/>
      <x:c r="F133" s="27"/>
      <x:c r="G133" s="27"/>
      <x:c r="H133" s="27"/>
      <x:c r="I133" s="27"/>
      <x:c r="J133" s="27"/>
    </x:row>
    <x:row r="134" ht="44" customHeight="1">
      <x:c r="A134" s="42" t="str">
        <x:v>Methodology 4</x:v>
      </x:c>
      <x:c r="B134" s="42"/>
      <x:c r="C134" s="27" t="str">
        <x:v>Original workbook and 17 baseline app/runtime files remained unchanged. Served entrypoint and selected modules matched disk hashes. Evidence is a dated snapshot of ux-pipeline-v7, not a production certification.</x:v>
      </x:c>
      <x:c r="D134" s="27"/>
      <x:c r="E134" s="27"/>
      <x:c r="F134" s="27"/>
      <x:c r="G134" s="27"/>
      <x:c r="H134" s="27"/>
      <x:c r="I134" s="27"/>
      <x:c r="J134" s="27"/>
    </x:row>
    <x:row r="135" ht="44" customHeight="1">
      <x:c r="A135" s="42" t="str">
        <x:v>Methodology 5</x:v>
      </x:c>
      <x:c r="B135" s="42"/>
      <x:c r="C135" s="27" t="str">
        <x:v>Initial harness/selector errors were retained in evidence and distinguished from product defects. Incomplete checks are not passes. Owner visual acceptance, real provider/device paths and real filesystem workflows remain separate.</x:v>
      </x:c>
      <x:c r="D135" s="27"/>
      <x:c r="E135" s="27"/>
      <x:c r="F135" s="27"/>
      <x:c r="G135" s="27"/>
      <x:c r="H135" s="27"/>
      <x:c r="I135" s="27"/>
      <x:c r="J135" s="27"/>
    </x:row>
    <x:row r="136" ht="44" customHeight="1">
      <x:c r="A136" s="42" t="str">
        <x:v>Root observation 1</x:v>
      </x:c>
      <x:c r="B136" s="42"/>
      <x:c r="C136" s="27" t="str">
        <x:v>Live UI: coworker identity, local welcome, disabled empty Send, profile/docs, privacy, local diagnostics, Browser/Computer unavailable states, artifact scope and saved Feed message navigation inspected.</x:v>
      </x:c>
      <x:c r="D136" s="27"/>
      <x:c r="E136" s="27"/>
      <x:c r="F136" s="27"/>
      <x:c r="G136" s="27"/>
      <x:c r="H136" s="27"/>
      <x:c r="I136" s="27"/>
      <x:c r="J136" s="27"/>
    </x:row>
    <x:row r="137" ht="44" customHeight="1">
      <x:c r="A137" s="42" t="str">
        <x:v>Root observation 2</x:v>
      </x:c>
      <x:c r="B137" s="42"/>
      <x:c r="C137" s="27" t="str">
        <x:v>Live diagnostics: OpenCode Go / mimo-v2.5, locally configured, reachability explicitly unverified. Existing run readback returned matching run/chat IDs and 13 events.</x:v>
      </x:c>
      <x:c r="D137" s="27"/>
      <x:c r="E137" s="27"/>
      <x:c r="F137" s="27"/>
      <x:c r="G137" s="27"/>
      <x:c r="H137" s="27"/>
      <x:c r="I137" s="27"/>
      <x:c r="J137" s="27"/>
    </x:row>
    <x:row r="138" ht="44" customHeight="1">
      <x:c r="A138" s="42" t="str">
        <x:v>Root observation 3</x:v>
      </x:c>
      <x:c r="B138" s="42"/>
      <x:c r="C138" s="27" t="str">
        <x:v>CUA later timed out opening/reacquiring the large Artifacts view. Cause was not isolated; this was recorded as an automation limitation, not a confirmed app defect.</x:v>
      </x:c>
      <x:c r="D138" s="27"/>
      <x:c r="E138" s="27"/>
      <x:c r="F138" s="27"/>
      <x:c r="G138" s="27"/>
      <x:c r="H138" s="27"/>
      <x:c r="I138" s="27"/>
      <x:c r="J138" s="27"/>
    </x:row>
    <x:row r="139" ht="30" customHeight="1">
      <x:c r="A139" s="42" t="str">
        <x:v>Test 1</x:v>
      </x:c>
      <x:c r="B139" s="42"/>
      <x:c r="C139" s="27" t="str">
        <x:v>node --check outputs\01a0a816-e452-75f2-9363-0f859011a90e\audit_001_040\audit-001-040.cjs [exit 0]: PASS syntax check</x:v>
      </x:c>
      <x:c r="D139" s="27"/>
      <x:c r="E139" s="27"/>
      <x:c r="F139" s="27"/>
      <x:c r="G139" s="27"/>
      <x:c r="H139" s="27"/>
      <x:c r="I139" s="27"/>
      <x:c r="J139" s="27"/>
    </x:row>
    <x:row r="140" ht="44" customHeight="1">
      <x:c r="A140" s="42" t="str">
        <x:v>Test 2</x:v>
      </x:c>
      <x:c r="B140" s="42"/>
      <x:c r="C140" s="27" t="str">
        <x:v>node outputs\01a0a816-e452-75f2-9363-0f859011a90e\audit_001_040\audit-001-040.cjs [exit 0]: PASS harness completed: 62 checks, 61 positive, 1 product failure (UX-011), 0 blocked, 0 page errors</x:v>
      </x:c>
      <x:c r="D140" s="27"/>
      <x:c r="E140" s="27"/>
      <x:c r="F140" s="27"/>
      <x:c r="G140" s="27"/>
      <x:c r="H140" s="27"/>
      <x:c r="I140" s="27"/>
      <x:c r="J140" s="27"/>
    </x:row>
    <x:row r="141" ht="44" customHeight="1">
      <x:c r="A141" s="42" t="str">
        <x:v>Test 3</x:v>
      </x:c>
      <x:c r="B141" s="42"/>
      <x:c r="C141" s="27" t="str">
        <x:v>node --test intentgraph\network-execution.test.cjs intentgraph\sandbox-routes.test.cjs intentgraph\steering.test.cjs intentgraph\agent-runtime.test.cjs intentgraph\chat-runtime.test.cjs [exit 0]: PASS: 25 tests passed, 0 failed</x:v>
      </x:c>
      <x:c r="D141" s="27"/>
      <x:c r="E141" s="27"/>
      <x:c r="F141" s="27"/>
      <x:c r="G141" s="27"/>
      <x:c r="H141" s="27"/>
      <x:c r="I141" s="27"/>
      <x:c r="J141" s="27"/>
    </x:row>
    <x:row r="142" ht="30" customHeight="1">
      <x:c r="A142" s="42" t="str">
        <x:v>Test 4</x:v>
      </x:c>
      <x:c r="B142" s="42"/>
      <x:c r="C142" s="27" t="str">
        <x:v>node audit_041_079/audit.cjs :: UX-041..049 [exit 0]: PASS</x:v>
      </x:c>
      <x:c r="D142" s="27"/>
      <x:c r="E142" s="27"/>
      <x:c r="F142" s="27"/>
      <x:c r="G142" s="27"/>
      <x:c r="H142" s="27"/>
      <x:c r="I142" s="27"/>
      <x:c r="J142" s="27"/>
    </x:row>
    <x:row r="143" ht="30" customHeight="1">
      <x:c r="A143" s="42" t="str">
        <x:v>Test 5</x:v>
      </x:c>
      <x:c r="B143" s="42"/>
      <x:c r="C143" s="27" t="str">
        <x:v>node audit_041_079/audit.cjs :: UX-050..065 [exit 0]: PASS</x:v>
      </x:c>
      <x:c r="D143" s="27"/>
      <x:c r="E143" s="27"/>
      <x:c r="F143" s="27"/>
      <x:c r="G143" s="27"/>
      <x:c r="H143" s="27"/>
      <x:c r="I143" s="27"/>
      <x:c r="J143" s="27"/>
    </x:row>
    <x:row r="144" ht="30" customHeight="1">
      <x:c r="A144" s="42" t="str">
        <x:v>Test 6</x:v>
      </x:c>
      <x:c r="B144" s="42"/>
      <x:c r="C144" s="27" t="str">
        <x:v>node audit_041_079/audit.cjs :: UX-066..073 [exit 0]: PASS</x:v>
      </x:c>
      <x:c r="D144" s="27"/>
      <x:c r="E144" s="27"/>
      <x:c r="F144" s="27"/>
      <x:c r="G144" s="27"/>
      <x:c r="H144" s="27"/>
      <x:c r="I144" s="27"/>
      <x:c r="J144" s="27"/>
    </x:row>
    <x:row r="145" ht="30" customHeight="1">
      <x:c r="A145" s="42" t="str">
        <x:v>Test 7</x:v>
      </x:c>
      <x:c r="B145" s="42"/>
      <x:c r="C145" s="27" t="str">
        <x:v>node audit_041_079/audit.cjs :: UX-066-duplicate [exit 0]: PASS</x:v>
      </x:c>
      <x:c r="D145" s="27"/>
      <x:c r="E145" s="27"/>
      <x:c r="F145" s="27"/>
      <x:c r="G145" s="27"/>
      <x:c r="H145" s="27"/>
      <x:c r="I145" s="27"/>
      <x:c r="J145" s="27"/>
    </x:row>
    <x:row r="146" ht="30" customHeight="1">
      <x:c r="A146" s="42" t="str">
        <x:v>Test 8</x:v>
      </x:c>
      <x:c r="B146" s="42"/>
      <x:c r="C146" s="27" t="str">
        <x:v>node audit_041_079/audit.cjs :: UX-076..079 [exit 0]: PASS</x:v>
      </x:c>
      <x:c r="D146" s="27"/>
      <x:c r="E146" s="27"/>
      <x:c r="F146" s="27"/>
      <x:c r="G146" s="27"/>
      <x:c r="H146" s="27"/>
      <x:c r="I146" s="27"/>
      <x:c r="J146" s="27"/>
    </x:row>
    <x:row r="147" ht="30" customHeight="1">
      <x:c r="A147" s="42" t="str">
        <x:v>Test 9</x:v>
      </x:c>
      <x:c r="B147" s="42"/>
      <x:c r="C147" s="27" t="str">
        <x:v>node audit_080_115/audit-080-115.cjs :: static phase [exit 0]: PASS</x:v>
      </x:c>
      <x:c r="D147" s="27"/>
      <x:c r="E147" s="27"/>
      <x:c r="F147" s="27"/>
      <x:c r="G147" s="27"/>
      <x:c r="H147" s="27"/>
      <x:c r="I147" s="27"/>
      <x:c r="J147" s="27"/>
    </x:row>
    <x:row r="148" ht="30" customHeight="1">
      <x:c r="A148" s="42" t="str">
        <x:v>Test 10</x:v>
      </x:c>
      <x:c r="B148" s="42"/>
      <x:c r="C148" s="27" t="str">
        <x:v>node audit_080_115/audit-080-115.cjs :: module phase [exit 0]: PASS</x:v>
      </x:c>
      <x:c r="D148" s="27"/>
      <x:c r="E148" s="27"/>
      <x:c r="F148" s="27"/>
      <x:c r="G148" s="27"/>
      <x:c r="H148" s="27"/>
      <x:c r="I148" s="27"/>
      <x:c r="J148" s="27"/>
    </x:row>
    <x:row r="149" ht="58" customHeight="1">
      <x:c r="A149" s="42" t="str">
        <x:v>Test 11</x:v>
      </x:c>
      <x:c r="B149" s="42"/>
      <x:c r="C149" s="27" t="str">
        <x:v>node audit_080_115/audit-080-115.cjs :: browser phase [exit 1]: INCOMPLETE: browser chain timed out at a hidden composer after recorded earlier checks and the isolated About contradiction. Later planned checks are not counted as passes. See audit_080_115/report.json and browser-audit.json.</x:v>
      </x:c>
      <x:c r="D149" s="27"/>
      <x:c r="E149" s="27"/>
      <x:c r="F149" s="27"/>
      <x:c r="G149" s="27"/>
      <x:c r="H149" s="27"/>
      <x:c r="I149" s="27"/>
      <x:c r="J149" s="27"/>
    </x:row>
    <x:row r="150" ht="58" customHeight="1">
      <x:c r="A150" s="42" t="str">
        <x:v>Test 12</x:v>
      </x:c>
      <x:c r="B150" s="42"/>
      <x:c r="C150" s="27" t="str">
        <x:v>node outputs/01a0a816-e452-75f2-9363-0f859011a90e/root-storage-audit.cjs [exit 0]: Reproduced partial coworker persistence on storage failure, orphan survives reload and blocks same-name retry. Isolated browser only; all non-static requests blocked.</x:v>
      </x:c>
      <x:c r="D150" s="27"/>
      <x:c r="E150" s="27"/>
      <x:c r="F150" s="27"/>
      <x:c r="G150" s="27"/>
      <x:c r="H150" s="27"/>
      <x:c r="I150" s="27"/>
      <x:c r="J150" s="27"/>
    </x:row>
    <x:row r="151" ht="44" customHeight="1">
      <x:c r="A151" s="42" t="str">
        <x:v>Test 13</x:v>
      </x:c>
      <x:c r="B151" s="42"/>
      <x:c r="C151" s="27" t="str">
        <x:v>Read-only local GET /api/chat/runs and /api/chat/runs/:id [exit 0]: Four stored runs listed; one matching record read with 13 events and original reply provenance. No new provider/device execution. Evidence: root-run-readback.json.</x:v>
      </x:c>
      <x:c r="D151" s="27"/>
      <x:c r="E151" s="27"/>
      <x:c r="F151" s="27"/>
      <x:c r="G151" s="27"/>
      <x:c r="H151" s="27"/>
      <x:c r="I151" s="27"/>
      <x:c r="J151" s="27"/>
    </x:row>
  </x:sheetData>
  <x:mergeCells>
    <x:mergeCell ref="A1:J1"/>
    <x:mergeCell ref="A2:J2"/>
    <x:mergeCell ref="D4:J4"/>
    <x:mergeCell ref="E5:J5"/>
    <x:mergeCell ref="E6:J6"/>
    <x:mergeCell ref="E7:J7"/>
    <x:mergeCell ref="E8:J8"/>
    <x:mergeCell ref="E9:J9"/>
    <x:mergeCell ref="E10:J10"/>
    <x:mergeCell ref="E11:J11"/>
    <x:mergeCell ref="A130:J130"/>
    <x:mergeCell ref="A131:B131"/>
    <x:mergeCell ref="C131:J131"/>
    <x:mergeCell ref="A132:B132"/>
    <x:mergeCell ref="C132:J132"/>
    <x:mergeCell ref="A133:B133"/>
    <x:mergeCell ref="C133:J133"/>
    <x:mergeCell ref="A134:B134"/>
    <x:mergeCell ref="C134:J134"/>
    <x:mergeCell ref="A135:B135"/>
    <x:mergeCell ref="C135:J135"/>
    <x:mergeCell ref="A136:B136"/>
    <x:mergeCell ref="C136:J136"/>
    <x:mergeCell ref="A137:B137"/>
    <x:mergeCell ref="C137:J137"/>
    <x:mergeCell ref="A138:B138"/>
    <x:mergeCell ref="C138:J138"/>
    <x:mergeCell ref="A139:B139"/>
    <x:mergeCell ref="C139:J139"/>
    <x:mergeCell ref="A140:B140"/>
    <x:mergeCell ref="C140:J140"/>
    <x:mergeCell ref="A141:B141"/>
    <x:mergeCell ref="C141:J141"/>
    <x:mergeCell ref="A142:B142"/>
    <x:mergeCell ref="C142:J142"/>
    <x:mergeCell ref="A143:B143"/>
    <x:mergeCell ref="C143:J143"/>
    <x:mergeCell ref="A144:B144"/>
    <x:mergeCell ref="C144:J144"/>
    <x:mergeCell ref="A145:B145"/>
    <x:mergeCell ref="C145:J145"/>
    <x:mergeCell ref="A146:B146"/>
    <x:mergeCell ref="C146:J146"/>
    <x:mergeCell ref="A147:B147"/>
    <x:mergeCell ref="C147:J147"/>
    <x:mergeCell ref="A148:B148"/>
    <x:mergeCell ref="C148:J148"/>
    <x:mergeCell ref="A149:B149"/>
    <x:mergeCell ref="C149:J149"/>
    <x:mergeCell ref="A150:B150"/>
    <x:mergeCell ref="C150:J150"/>
    <x:mergeCell ref="A151:B151"/>
    <x:mergeCell ref="C151:J151"/>
  </x:mergeCells>
  <x:conditionalFormatting sqref="E13:E127">
    <x:cfRule type="containsText" dxfId="0" priority="1" operator="containsText" text="Verified (scoped)"/>
    <x:cfRule type="containsText" dxfId="1" priority="2" operator="containsText" text="Defect"/>
    <x:cfRule type="containsText" dxfId="2" priority="3" operator="containsText" text="Missing"/>
    <x:cfRule type="containsText" dxfId="3" priority="4" operator="containsText" text="Unverified"/>
    <x:cfRule type="containsText" dxfId="4" priority="5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43ba5e195c45b7"/>
  </x:tableParts>
</x:worksheet>
</file>

<file path=xl/worksheets/sheet2.xml><?xml version="1.0" encoding="utf-8"?>
<x:worksheet xmlns:x="http://schemas.openxmlformats.org/spreadsheetml/2006/main">
  <x:sheetPr>
    <x:tabColor rgb="FF8A5A2B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1" hidden="0" customWidth="1"/>
    <x:col min="2" max="2" width="30" hidden="0" customWidth="1"/>
    <x:col min="3" max="3" width="30" hidden="0" customWidth="1"/>
    <x:col min="4" max="4" width="52" hidden="0" customWidth="1"/>
    <x:col min="5" max="5" width="42" hidden="0" customWidth="1"/>
    <x:col min="6" max="6" width="52" hidden="0" customWidth="1"/>
    <x:col min="7" max="7" width="12" hidden="0" customWidth="1"/>
    <x:col min="8" max="8" width="44" hidden="0" customWidth="1"/>
  </x:cols>
  <x:sheetData>
    <x:row r="1" ht="26" customHeight="1">
      <x:c r="A1" s="29" t="str">
        <x:v>Aven independent audit findings</x:v>
      </x:c>
      <x:c r="B1" s="17"/>
      <x:c r="C1" s="17"/>
      <x:c r="D1" s="17"/>
      <x:c r="E1" s="17"/>
      <x:c r="F1" s="17"/>
      <x:c r="G1" s="17"/>
      <x:c r="H1" s="17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 ht="40" customHeight="1">
      <x:c r="A3" s="43" t="str">
        <x:v>Source path</x:v>
      </x:c>
      <x:c r="B3" s="15" t="str">
        <x:v>C:\Users\vikasmit\Downloads\vikas problems\netrok-muse\outputs\01a0a3bc-a376-74e1-8d48-e4029c2cb5a2\Aven-UI-UX-Feature-Register.xlsx</x:v>
      </x:c>
      <x:c r="C3" s="15"/>
      <x:c r="D3" s="15"/>
      <x:c r="E3" s="15"/>
      <x:c r="F3" s="15"/>
      <x:c r="G3" s="15"/>
      <x:c r="H3" s="15"/>
    </x:row>
    <x:row r="4" ht="40" customHeight="1">
      <x:c r="A4" s="43" t="str">
        <x:v>Source SHA-256</x:v>
      </x:c>
      <x:c r="B4" s="15" t="str">
        <x:v>1d3070e0eb4a97772b219f11047aeeb2291cbbd2376ef5c2ba546dd2b5e0bef1</x:v>
      </x:c>
      <x:c r="C4" s="15"/>
      <x:c r="D4" s="15"/>
      <x:c r="E4" s="15"/>
      <x:c r="F4" s="15"/>
      <x:c r="G4" s="15"/>
      <x:c r="H4" s="15"/>
    </x:row>
    <x:row r="5" ht="40" customHeight="1">
      <x:c r="A5" s="43" t="str">
        <x:v>Methodology</x:v>
      </x:c>
      <x:c r="B5" s="15" t="str">
        <x:v>See the Audit detail section for the full methodology and checks.</x:v>
      </x:c>
      <x:c r="C5" s="15"/>
      <x:c r="D5" s="15"/>
      <x:c r="E5" s="15"/>
      <x:c r="F5" s="15"/>
      <x:c r="G5" s="15"/>
      <x:c r="H5" s="15"/>
    </x:row>
    <x:row r="6" ht="40" customHeight="1">
      <x:c r="A6" s="43" t="str">
        <x:v>Limitations</x:v>
      </x:c>
      <x:c r="B6" s="15" t="str">
        <x:v>Per-feature limitations appear in the Audit table.</x:v>
      </x:c>
      <x:c r="C6" s="15"/>
      <x:c r="D6" s="15"/>
      <x:c r="E6" s="15"/>
      <x:c r="F6" s="15"/>
      <x:c r="G6" s="15"/>
      <x:c r="H6" s="15"/>
    </x:row>
    <x:row r="7" ht="60" customHeight="1">
      <x:c r="A7" s="43" t="str">
        <x:v>Summary</x:v>
      </x:c>
      <x:c r="B7" s="15" t="str">
        <x:v>Original register: 80 Verified, 10 Implemented, 21 Not started, 4 Deferred. The previous task explicitly acknowledged 31 local items still needed work.
Independent snapshot: 67 Partial; 19 Verified (scoped); 5 Defect; 6 Unverified; 14 Missing; 4 Deferred.
Original 80 Verified reassessed: 54 Partial; 19 Verified (scoped); 3 Defect; 4 Unverified.
4 distinct reproduced defects affect 5 feature rows. No fixes applied during this audit.</x:v>
      </x:c>
      <x:c r="C7" s="15"/>
      <x:c r="D7" s="15"/>
      <x:c r="E7" s="15"/>
      <x:c r="F7" s="15"/>
      <x:c r="G7" s="15"/>
      <x:c r="H7" s="15"/>
    </x:row>
    <x:row r="8" ht="40" customHeight="1">
      <x:c r="A8" s="43" t="str">
        <x:v>Defects</x:v>
      </x:c>
      <x:c r="B8" s="15" t="str">
        <x:v>5 affected feature rows; 4 distinct defects</x:v>
      </x:c>
      <x:c r="C8" s="15"/>
      <x:c r="D8" s="15"/>
      <x:c r="E8" s="15"/>
      <x:c r="F8" s="15"/>
      <x:c r="G8" s="15"/>
      <x:c r="H8" s="15"/>
    </x:row>
    <x:row r="9">
      <x:c r="A9" s="17"/>
      <x:c r="B9" s="17"/>
      <x:c r="C9" s="17"/>
      <x:c r="D9" s="17"/>
      <x:c r="E9" s="17"/>
      <x:c r="F9" s="17"/>
      <x:c r="G9" s="17"/>
      <x:c r="H9" s="17"/>
    </x:row>
    <x:row r="10" ht="34" customHeight="1">
      <x:c r="A10" s="26" t="str">
        <x:v>ID</x:v>
      </x:c>
      <x:c r="B10" s="26" t="str">
        <x:v>Feature</x:v>
      </x:c>
      <x:c r="C10" s="26" t="str">
        <x:v>Defect title</x:v>
      </x:c>
      <x:c r="D10" s="26" t="str">
        <x:v>Repro</x:v>
      </x:c>
      <x:c r="E10" s="26" t="str">
        <x:v>Expected</x:v>
      </x:c>
      <x:c r="F10" s="26" t="str">
        <x:v>Actual</x:v>
      </x:c>
      <x:c r="G10" s="26" t="str">
        <x:v>Severity</x:v>
      </x:c>
      <x:c r="H10" s="26" t="str">
        <x:v>Evidence refs</x:v>
      </x:c>
    </x:row>
    <x:row r="11" ht="62" customHeight="1">
      <x:c r="A11" s="44" t="str">
        <x:v>UX-011</x:v>
      </x:c>
      <x:c r="B11" s="27" t="str">
        <x:v>Rename conversations</x:v>
      </x:c>
      <x:c r="C11" s="27" t="str">
        <x:v>Conversation rename overwrites coworker identity header</x:v>
      </x:c>
      <x:c r="D11" s="27" t="str">
        <x:v>Open a chat, choose Rename conversation, save a new conversation title, and inspect the active header.</x:v>
      </x:c>
      <x:c r="E11" s="27" t="str">
        <x:v>Sidebar conversation title changes while the coworker/profile identity header remains Firewall.</x:v>
      </x:c>
      <x:c r="F11" s="27" t="str">
        <x:v>The active direct-chat header temporarily changes to the conversation title; the persisted coworker name remains unchanged and normal chat navigation renders the coworker identity again.</x:v>
      </x:c>
      <x:c r="G11" s="27" t="str">
        <x:v>P2</x:v>
      </x:c>
      <x:c r="H11" s="27" t="str">
        <x:v>audit_001_040/fresh-evidence.json failed UX-011; polished.js:766-767</x:v>
      </x:c>
    </x:row>
    <x:row r="12" ht="42" customHeight="1">
      <x:c r="A12" s="35" t="str">
        <x:v>UX-066</x:v>
      </x:c>
      <x:c r="B12" s="28" t="str">
        <x:v>Artifact library for real chats</x:v>
      </x:c>
      <x:c r="C12" s="28" t="str">
        <x:v>Artifact library duplicates serialized event/evidence output</x:v>
      </x:c>
      <x:c r="D12" s="28" t="str">
        <x:v>Persist same command/target/status/output under message.events and message.evidence, open Artifacts.</x:v>
      </x:c>
      <x:c r="E12" s="28" t="str">
        <x:v>One artifact for one saved raw output.</x:v>
      </x:c>
      <x:c r="F12" s="28" t="str">
        <x:v>The same raw output appears twice.</x:v>
      </x:c>
      <x:c r="G12" s="28" t="str">
        <x:v>P2</x:v>
      </x:c>
      <x:c r="H12" s="28" t="str">
        <x:v>audit_041_079/artifact-duplicate-evidence.json</x:v>
      </x:c>
    </x:row>
    <x:row r="13" ht="49" customHeight="1">
      <x:c r="A13" s="35" t="str">
        <x:v>UX-102</x:v>
      </x:c>
      <x:c r="B13" s="28" t="str">
        <x:v>Release identity and diagnostics</x:v>
      </x:c>
      <x:c r="C13" s="28" t="str">
        <x:v>About hard-codes configured provider identity</x:v>
      </x:c>
      <x:c r="D13" s="28" t="str">
        <x:v>In isolated Chromium, mock GET /api/chat/status as configured:false; open Account &gt; About and refresh local status.</x:v>
      </x:c>
      <x:c r="E13" s="28" t="str">
        <x:v>The About connection identity should remain consistent with the false/unavailable status or say it is unknown.</x:v>
      </x:c>
      <x:c r="F13" s="28" t="str">
        <x:v>About shows OpenCode / MiMo V2.5 (configured) while the refreshed diagnostics JSON shows configured:false, provider Not connected and model Unavailable.</x:v>
      </x:c>
      <x:c r="G13" s="28" t="str">
        <x:v>P2</x:v>
      </x:c>
      <x:c r="H13" s="28" t="str">
        <x:v>audit_080_115/browser-audit.json; polished.js:897; polished-diagnostics.js:10</x:v>
      </x:c>
    </x:row>
    <x:row r="14" ht="62" customHeight="1">
      <x:c r="A14" s="35" t="str">
        <x:v>UX-058</x:v>
      </x:c>
      <x:c r="B14" s="28" t="str">
        <x:v>Simple creation and first welcome</x:v>
      </x:c>
      <x:c r="C14" s="28" t="str">
        <x:v>Failed coworker creation leaves a persisted orphan and blocks retry</x:v>
      </x:c>
      <x:c r="D14" s="28" t="str">
        <x:v>In an isolated workspace, create a coworker while localStorage writes to aven-polished-chats-v1 fail after preferences save. Reload, then retry the same name.</x:v>
      </x:c>
      <x:c r="E14" s="28" t="str">
        <x:v>A failed creation either rolls back all coworker/chat/document state or provides a recoverable partial operation. The same name remains retryable.</x:v>
      </x:c>
      <x:c r="F14" s="28" t="str">
        <x:v>UI says Could not save this coworker locally. Preferences still contain the coworker, but its chat and documents are absent. After reload it is absent from the sidebar and same-name retry says Choose a different name.</x:v>
      </x:c>
      <x:c r="G14" s="28" t="str">
        <x:v>P2</x:v>
      </x:c>
      <x:c r="H14" s="28" t="str">
        <x:v>root-storage-evidence.json; root-storage-defect.png; polished.js:807</x:v>
      </x:c>
    </x:row>
    <x:row r="15" ht="62" customHeight="1">
      <x:c r="A15" s="35" t="str">
        <x:v>UX-098</x:v>
      </x:c>
      <x:c r="B15" s="28" t="str">
        <x:v>Recoverable errors</x:v>
      </x:c>
      <x:c r="C15" s="28" t="str">
        <x:v>Failed coworker creation leaves a persisted orphan and blocks retry</x:v>
      </x:c>
      <x:c r="D15" s="28" t="str">
        <x:v>In an isolated workspace, create a coworker while localStorage writes to aven-polished-chats-v1 fail after preferences save. Reload, then retry the same name.</x:v>
      </x:c>
      <x:c r="E15" s="28" t="str">
        <x:v>A failed creation either rolls back all coworker/chat/document state or provides a recoverable partial operation. The same name remains retryable.</x:v>
      </x:c>
      <x:c r="F15" s="28" t="str">
        <x:v>UI says Could not save this coworker locally. Preferences still contain the coworker, but its chat and documents are absent. After reload it is absent from the sidebar and same-name retry says Choose a different name.</x:v>
      </x:c>
      <x:c r="G15" s="28" t="str">
        <x:v>P2</x:v>
      </x:c>
      <x:c r="H15" s="28" t="str">
        <x:v>root-storage-evidence.json; root-storage-defect.png; polished.js:807</x:v>
      </x:c>
    </x:row>
  </x:sheetData>
  <x:mergeCells>
    <x:mergeCell ref="A1:H1"/>
    <x:mergeCell ref="B3:H3"/>
    <x:mergeCell ref="B4:H4"/>
    <x:mergeCell ref="B5:H5"/>
    <x:mergeCell ref="B6:H6"/>
    <x:mergeCell ref="B7:H7"/>
    <x:mergeCell ref="B8:H8"/>
  </x:mergeCells>
  <x:conditionalFormatting sqref="G11:G15">
    <x:cfRule type="containsText" dxfId="5" priority="1" operator="containsText" text="P0"/>
    <x:cfRule type="containsText" dxfId="6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e736fa5f24244b1d"/>
  </x:tableParts>
</x:worksheet>
</file>

<file path=xl/worksheets/sheet3.xml><?xml version="1.0" encoding="utf-8"?>
<x:worksheet xmlns:x="http://schemas.openxmlformats.org/spreadsheetml/2006/main">
  <x:sheetPr>
    <x:tabColor rgb="FF70809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30" hidden="0" customWidth="1"/>
    <x:col min="4" max="4" width="16" hidden="0" customWidth="1"/>
    <x:col min="5" max="5" width="46" hidden="0" customWidth="1"/>
    <x:col min="6" max="6" width="34" hidden="0" customWidth="1"/>
    <x:col min="7" max="7" width="34" hidden="0" customWidth="1"/>
    <x:col min="8" max="8" width="34" hidden="0" customWidth="1"/>
    <x:col min="9" max="9" width="42" hidden="0" customWidth="1"/>
    <x:col min="10" max="10" width="11" hidden="0" customWidth="1"/>
    <x:col min="11" max="11" width="17" hidden="0" customWidth="1"/>
    <x:col min="12" max="12" width="32" hidden="0" customWidth="1"/>
    <x:col min="13" max="13" width="42" hidden="0" customWidth="1"/>
    <x:col min="14" max="14" width="18" hidden="0" customWidth="1"/>
    <x:col min="15" max="15" width="16" hidden="0" customWidth="1"/>
    <x:col min="16" max="16" width="44" hidden="0" customWidth="1"/>
  </x:cols>
  <x:sheetData>
    <x:row r="1" ht="26" customHeight="1">
      <x:c r="A1" s="29" t="str">
        <x:v>Original Aven register snapshot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</x:row>
    <x:row r="2" ht="26" customHeight="1">
      <x:c r="A2" s="30" t="str">
        <x:v>Preserved source claims from C:\Users\vikasmit\Downloads\vikas problems\netrok-muse\outputs\01a0a3bc-a376-74e1-8d48-e4029c2cb5a2\Aven-UI-UX-Feature-Register.xlsx. SHA-256: 1d3070e0eb4a97772b219f11047aeeb2291cbbd2376ef5c2ba546dd2b5e0bef1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</x:row>
    <x:row r="5" ht="34" customHeight="1">
      <x:c r="A5" s="26" t="str">
        <x:v>ID</x:v>
      </x:c>
      <x:c r="B5" s="26" t="str">
        <x:v>Area</x:v>
      </x:c>
      <x:c r="C5" s="26" t="str">
        <x:v>Feature</x:v>
      </x:c>
      <x:c r="D5" s="26" t="str">
        <x:v>Aven state</x:v>
      </x:c>
      <x:c r="E5" s="26" t="str">
        <x:v>Aven today</x:v>
      </x:c>
      <x:c r="F5" s="26" t="str">
        <x:v>Grok Bot</x:v>
      </x:c>
      <x:c r="G5" s="26" t="str">
        <x:v>Codex desktop</x:v>
      </x:c>
      <x:c r="H5" s="26" t="str">
        <x:v>Claude Code</x:v>
      </x:c>
      <x:c r="I5" s="26" t="str">
        <x:v>Aven target / next action</x:v>
      </x:c>
      <x:c r="J5" s="26" t="str">
        <x:v>Priority</x:v>
      </x:c>
      <x:c r="K5" s="26" t="str">
        <x:v>Phase</x:v>
      </x:c>
      <x:c r="L5" s="26" t="str">
        <x:v>Dependency</x:v>
      </x:c>
      <x:c r="M5" s="26" t="str">
        <x:v>Acceptance check</x:v>
      </x:c>
      <x:c r="N5" s="26" t="str">
        <x:v>Delivery</x:v>
      </x:c>
      <x:c r="O5" s="26" t="str">
        <x:v>Decision</x:v>
      </x:c>
      <x:c r="P5" s="26" t="str">
        <x:v>Evidence</x:v>
      </x:c>
    </x:row>
    <x:row r="6" ht="75" customHeight="1">
      <x:c r="A6" s="34" t="str">
        <x:v>UX-001</x:v>
      </x:c>
      <x:c r="B6" s="32" t="str">
        <x:v>Basics</x:v>
      </x:c>
      <x:c r="C6" s="32" t="str">
        <x:v>Subtle scrollbars</x:v>
      </x:c>
      <x:c r="D6" s="32" t="str">
        <x:v>Present</x:v>
      </x:c>
      <x:c r="E6" s="32" t="str">
        <x:v>Thin scrollbars reveal on hover, focus or scrolling, then fade while idle. Wheel, keyboard, Chromium touch emulation, reduced-motion and forced-colors checked.</x:v>
      </x:c>
      <x:c r="F6" s="32" t="str">
        <x:v>Observed: thin sidebar bar; fade timing untested [G1]</x:v>
      </x:c>
      <x:c r="G6" s="32" t="str">
        <x:v>Observed: restrained scrollbars; fade timing untested [C0]</x:v>
      </x:c>
      <x:c r="H6" s="32" t="str">
        <x:v>Unverified</x:v>
      </x:c>
      <x:c r="I6" s="32" t="str">
        <x:v>Show subtle bars on hover or scroll, then fade. Keep scrolling usable.</x:v>
      </x:c>
      <x:c r="J6" s="32" t="str">
        <x:v>P1</x:v>
      </x:c>
      <x:c r="K6" s="32" t="str">
        <x:v>1 Basics</x:v>
      </x:c>
      <x:c r="L6" s="32" t="str">
        <x:v>CSS overflow investigation</x:v>
      </x:c>
      <x:c r="M6" s="32" t="str">
        <x:v>Mouse, keyboard and touch scrolling work. Idle bars fade. CLI whitespace stays exact.</x:v>
      </x:c>
      <x:c r="N6" s="32" t="str">
        <x:v>Verified</x:v>
      </x:c>
      <x:c r="O6" s="32" t="str">
        <x:v>Agreed</x:v>
      </x:c>
      <x:c r="P6" s="32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7" ht="75" customHeight="1">
      <x:c r="A7" s="35" t="str">
        <x:v>UX-002</x:v>
      </x:c>
      <x:c r="B7" s="28" t="str">
        <x:v>Basics</x:v>
      </x:c>
      <x:c r="C7" s="28" t="str">
        <x:v>Contain horizontal overflow</x:v>
      </x:c>
      <x:c r="D7" s="28" t="str">
        <x:v>Present</x:v>
      </x:c>
      <x:c r="E7" s="28" t="str">
        <x:v>Long sidebar labels stay contained. Page bounds checked at 1440/1024/768/390; narrow windows collapse the rail. Raw CLI text remains unwrapped and exact.</x:v>
      </x:c>
      <x:c r="F7" s="28" t="str">
        <x:v>Observed: single-line previews fit sidebar [G1]</x:v>
      </x:c>
      <x:c r="G7" s="28" t="str">
        <x:v>Observed: previews fit sidebar [C0]</x:v>
      </x:c>
      <x:c r="H7" s="28" t="str">
        <x:v>Unverified</x:v>
      </x:c>
      <x:c r="I7" s="28" t="str">
        <x:v>Constrain row widths; only raw code and wide tables may scroll sideways.</x:v>
      </x:c>
      <x:c r="J7" s="28" t="str">
        <x:v>P1</x:v>
      </x:c>
      <x:c r="K7" s="28" t="str">
        <x:v>1 Basics</x:v>
      </x:c>
      <x:c r="L7" s="28" t="str">
        <x:v>Long names and CLI fixtures</x:v>
      </x:c>
      <x:c r="M7" s="28" t="str">
        <x:v>No horizontal sidebar or page scroll at agreed desktop widths. Long CLI lines remain copy-exact.</x:v>
      </x:c>
      <x:c r="N7" s="28" t="str">
        <x:v>Verified</x:v>
      </x:c>
      <x:c r="O7" s="28" t="str">
        <x:v>Agreed</x:v>
      </x:c>
      <x:c r="P7" s="28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8" ht="62" customHeight="1">
      <x:c r="A8" s="36" t="str">
        <x:v>UX-003</x:v>
      </x:c>
      <x:c r="B8" s="33" t="str">
        <x:v>Basics</x:v>
      </x:c>
      <x:c r="C8" s="33" t="str">
        <x:v>Account entry</x:v>
      </x:c>
      <x:c r="D8" s="33" t="str">
        <x:v>Present</x:v>
      </x:c>
      <x:c r="E8" s="33" t="str">
        <x:v>Account caret removed; keyboard account menu and Settings remain accessible.</x:v>
      </x:c>
      <x:c r="F8" s="33" t="str">
        <x:v>Observed: account row without that caret [G1]</x:v>
      </x:c>
      <x:c r="G8" s="33" t="str">
        <x:v>Observed: account control at bottom [C0]</x:v>
      </x:c>
      <x:c r="H8" s="33" t="str">
        <x:v>Unverified</x:v>
      </x:c>
      <x:c r="I8" s="33" t="str">
        <x:v>Remove caret while keeping account and Settings access discoverable.</x:v>
      </x:c>
      <x:c r="J8" s="33" t="str">
        <x:v>P2</x:v>
      </x:c>
      <x:c r="K8" s="33" t="str">
        <x:v>1 Basics</x:v>
      </x:c>
      <x:c r="L8" s="33" t="str">
        <x:v>None</x:v>
      </x:c>
      <x:c r="M8" s="33" t="str">
        <x:v>Caret absent; account menu remains keyboard reachable.</x:v>
      </x:c>
      <x:c r="N8" s="33" t="str">
        <x:v>Verified</x:v>
      </x:c>
      <x:c r="O8" s="33" t="str">
        <x:v>Agreed</x:v>
      </x:c>
      <x:c r="P8" s="33" t="str">
        <x:v>2026-09-15: .intentgraph/evidence/ux-fixes-2026-09-15/root-identity-review.json; review-ux-pipeline.cjs --identity-only; exit 0. Isolated Chromium, owner acceptance pending.</x:v>
      </x:c>
    </x:row>
    <x:row r="9" ht="62" customHeight="1">
      <x:c r="A9" s="35" t="str">
        <x:v>UX-004</x:v>
      </x:c>
      <x:c r="B9" s="28" t="str">
        <x:v>Basics</x:v>
      </x:c>
      <x:c r="C9" s="28" t="str">
        <x:v>Selected profile identity</x:v>
      </x:c>
      <x:c r="D9" s="28" t="str">
        <x:v>Present</x:v>
      </x:c>
      <x:c r="E9" s="28" t="str">
        <x:v>Profile heading shows selected coworker name; redundant selector removed. Rename synchronizes profile and conversation.</x:v>
      </x:c>
      <x:c r="F9" s="28" t="str">
        <x:v>Observed: selected bot settings; name field [G1]</x:v>
      </x:c>
      <x:c r="G9" s="28" t="str">
        <x:v>Unverified</x:v>
      </x:c>
      <x:c r="H9" s="28" t="str">
        <x:v>Unverified</x:v>
      </x:c>
      <x:c r="I9" s="28" t="str">
        <x:v>Use actual coworker name as heading. Remove redundant Agent switcher.</x:v>
      </x:c>
      <x:c r="J9" s="28" t="str">
        <x:v>P1</x:v>
      </x:c>
      <x:c r="K9" s="28" t="str">
        <x:v>1 Basics</x:v>
      </x:c>
      <x:c r="L9" s="28" t="str">
        <x:v>Selected chat identity</x:v>
      </x:c>
      <x:c r="M9" s="28" t="str">
        <x:v>Firewall opens firewall profile. Rename synchronizes header. Editing and documents remain accessible.</x:v>
      </x:c>
      <x:c r="N9" s="28" t="str">
        <x:v>Verified</x:v>
      </x:c>
      <x:c r="O9" s="28" t="str">
        <x:v>Agreed</x:v>
      </x:c>
      <x:c r="P9" s="28" t="str">
        <x:v>2026-09-15: root-identity-review.json and root-profile-desktop.png under .intentgraph/evidence/ux-fixes-2026-09-15/; browser test exit 0. Owner acceptance pending.</x:v>
      </x:c>
    </x:row>
    <x:row r="10" ht="75" customHeight="1">
      <x:c r="A10" s="36" t="str">
        <x:v>UX-005</x:v>
      </x:c>
      <x:c r="B10" s="33" t="str">
        <x:v>Basics</x:v>
      </x:c>
      <x:c r="C10" s="33" t="str">
        <x:v>Horizontal reaction panel</x:v>
      </x:c>
      <x:c r="D10" s="33" t="str">
        <x:v>Present</x:v>
      </x:c>
      <x:c r="E10" s="33" t="str">
        <x:v>Six emoji and More form one horizontal row above text actions. Keyboard navigation, viewport bounds and focus return verified. Reply is tracked separately in UX-024.</x:v>
      </x:c>
      <x:c r="F10" s="33" t="str">
        <x:v>Observed: six emoji plus More, above Reply and Copy [G1]</x:v>
      </x:c>
      <x:c r="G10" s="33" t="str">
        <x:v>Unverified</x:v>
      </x:c>
      <x:c r="H10" s="33" t="str">
        <x:v>Unverified</x:v>
      </x:c>
      <x:c r="I10" s="33" t="str">
        <x:v>Reproduce observed compact horizontal row and separate text actions.</x:v>
      </x:c>
      <x:c r="J10" s="33" t="str">
        <x:v>P1</x:v>
      </x:c>
      <x:c r="K10" s="33" t="str">
        <x:v>1 Basics</x:v>
      </x:c>
      <x:c r="L10" s="33" t="str">
        <x:v>G1 message-menu capture</x:v>
      </x:c>
      <x:c r="M10" s="33" t="str">
        <x:v>Row matches reference structure; opens by mouse and keyboard without clipping.</x:v>
      </x:c>
      <x:c r="N10" s="33" t="str">
        <x:v>Verified</x:v>
      </x:c>
      <x:c r="O10" s="33" t="str">
        <x:v>Agreed</x:v>
      </x:c>
      <x:c r="P10" s="33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11" ht="75" customHeight="1">
      <x:c r="A11" s="35" t="str">
        <x:v>UX-006</x:v>
      </x:c>
      <x:c r="B11" s="28" t="str">
        <x:v>Basics</x:v>
      </x:c>
      <x:c r="C11" s="28" t="str">
        <x:v>One reaction per user</x:v>
      </x:c>
      <x:c r="D11" s="28" t="str">
        <x:v>Present</x:v>
      </x:c>
      <x:c r="E11" s="28" t="str">
        <x:v>One local reaction: selecting another replaces it, selecting the same clears it. Latest legacy reaction retained with raw backup and save-failure recovery.</x:v>
      </x:c>
      <x:c r="F11" s="28" t="str">
        <x:v>Unverified</x:v>
      </x:c>
      <x:c r="G11" s="28" t="str">
        <x:v>Unverified</x:v>
      </x:c>
      <x:c r="H11" s="28" t="str">
        <x:v>Unverified</x:v>
      </x:c>
      <x:c r="I11" s="28" t="str">
        <x:v>New reaction replaces prior selection; same reaction toggles off.</x:v>
      </x:c>
      <x:c r="J11" s="28" t="str">
        <x:v>P1</x:v>
      </x:c>
      <x:c r="K11" s="28" t="str">
        <x:v>1 Basics</x:v>
      </x:c>
      <x:c r="L11" s="28" t="str">
        <x:v>Existing reaction migration</x:v>
      </x:c>
      <x:c r="M11" s="28" t="str">
        <x:v>Select A then B leaves only B. Selecting B clears it. Reload preserves result without losing messages.</x:v>
      </x:c>
      <x:c r="N11" s="28" t="str">
        <x:v>Verified</x:v>
      </x:c>
      <x:c r="O11" s="28" t="str">
        <x:v>Agreed</x:v>
      </x:c>
      <x:c r="P11" s="28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12" ht="75" customHeight="1">
      <x:c r="A12" s="36" t="str">
        <x:v>UX-007</x:v>
      </x:c>
      <x:c r="B12" s="33" t="str">
        <x:v>Navigation</x:v>
      </x:c>
      <x:c r="C12" s="33" t="str">
        <x:v>Coworker-first entry</x:v>
      </x:c>
      <x:c r="D12" s="33" t="str">
        <x:v>Present</x:v>
      </x:c>
      <x:c r="E12" s="33" t="str">
        <x:v>Coworker-first creation and navigation. Existing grouped histories remain reachable under Conversations; archive/revert/drafts/queue regressions pass.</x:v>
      </x:c>
      <x:c r="F12" s="33" t="str">
        <x:v>Observed: direct bot list; New Bot and New Channel [G1]</x:v>
      </x:c>
      <x:c r="G12" s="33" t="str">
        <x:v>Observed: task and project organization [C0]</x:v>
      </x:c>
      <x:c r="H12" s="33" t="str">
        <x:v>Documented: session and folder organization [D1]</x:v>
      </x:c>
      <x:c r="I12" s="33" t="str">
        <x:v>Choose named coworker and chat. Remove Teams from primary experience.</x:v>
      </x:c>
      <x:c r="J12" s="33" t="str">
        <x:v>P1</x:v>
      </x:c>
      <x:c r="K12" s="33" t="str">
        <x:v>1 Basics</x:v>
      </x:c>
      <x:c r="L12" s="33" t="str">
        <x:v>Preserve and expose all existing grouped histories</x:v>
      </x:c>
      <x:c r="M12" s="33" t="str">
        <x:v>New user can start a named conversation without understanding teams. Existing chats, drafts, queues and avatars remain accessible.</x:v>
      </x:c>
      <x:c r="N12" s="33" t="str">
        <x:v>Verified</x:v>
      </x:c>
      <x:c r="O12" s="33" t="str">
        <x:v>Agreed</x:v>
      </x:c>
      <x:c r="P12" s="33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13" ht="75" customHeight="1">
      <x:c r="A13" s="35" t="str">
        <x:v>UX-008</x:v>
      </x:c>
      <x:c r="B13" s="28" t="str">
        <x:v>Navigation</x:v>
      </x:c>
      <x:c r="C13" s="28" t="str">
        <x:v>Stable conversation header</x:v>
      </x:c>
      <x:c r="D13" s="28" t="str">
        <x:v>Present</x:v>
      </x:c>
      <x:c r="E13" s="28" t="str">
        <x:v>Selected coworker name remains in center header.</x:v>
      </x:c>
      <x:c r="F13" s="28" t="str">
        <x:v>Observed: persistent bot name [G1]</x:v>
      </x:c>
      <x:c r="G13" s="28" t="str">
        <x:v>Observed: persistent task title [C0]</x:v>
      </x:c>
      <x:c r="H13" s="28" t="str">
        <x:v>Documented: session title [D1]</x:v>
      </x:c>
      <x:c r="I13" s="28" t="str">
        <x:v>Keep stable identity during sending, streaming and pane changes.</x:v>
      </x:c>
      <x:c r="J13" s="28" t="str">
        <x:v>P2</x:v>
      </x:c>
      <x:c r="K13" s="28" t="str">
        <x:v>Keep</x:v>
      </x:c>
      <x:c r="L13" s="28" t="str">
        <x:v>Regression verification</x:v>
      </x:c>
      <x:c r="M13" s="28" t="str">
        <x:v>Short first message never replaces coworker identity.</x:v>
      </x:c>
      <x:c r="N13" s="28" t="str">
        <x:v>Verified</x:v>
      </x:c>
      <x:c r="O13" s="28" t="str">
        <x:v>Preserve</x:v>
      </x:c>
      <x:c r="P13" s="28" t="str">
        <x:v>2026-09-16: preservation audit PASS. .intentgraph/evidence/ux-fixes-2026-09-15/history-regression.json (stable coworker title after hi); .intentgraph/runtime/verify-direct-teams.cjs:8,12 Owner acceptance remains separate.</x:v>
      </x:c>
    </x:row>
    <x:row r="14" ht="49" customHeight="1">
      <x:c r="A14" s="36" t="str">
        <x:v>UX-009</x:v>
      </x:c>
      <x:c r="B14" s="33" t="str">
        <x:v>Navigation</x:v>
      </x:c>
      <x:c r="C14" s="33" t="str">
        <x:v>Sidebar previews</x:v>
      </x:c>
      <x:c r="D14" s="33" t="str">
        <x:v>Present</x:v>
      </x:c>
      <x:c r="E14" s="33" t="str">
        <x:v>Readable plain-text sidebar previews; full stored Markdown and message text are unchanged.</x:v>
      </x:c>
      <x:c r="F14" s="33" t="str">
        <x:v>Observed: name, preview, time and unread dot [G1]</x:v>
      </x:c>
      <x:c r="G14" s="33" t="str">
        <x:v>Observed: titles and activity indicators [C0]</x:v>
      </x:c>
      <x:c r="H14" s="33" t="str">
        <x:v>Documented: session sidebar [D1]</x:v>
      </x:c>
      <x:c r="I14" s="33" t="str">
        <x:v>Use plain-text previews with time and useful state.</x:v>
      </x:c>
      <x:c r="J14" s="33" t="str">
        <x:v>P2</x:v>
      </x:c>
      <x:c r="K14" s="33" t="str">
        <x:v>2 Chat</x:v>
      </x:c>
      <x:c r="L14" s="33" t="str">
        <x:v>Message text normalization</x:v>
      </x:c>
      <x:c r="M14" s="33" t="str">
        <x:v>Markdown table syntax and code fences do not overwhelm the row. Full title remains accessible.</x:v>
      </x:c>
      <x:c r="N14" s="33" t="str">
        <x:v>Verified</x:v>
      </x:c>
      <x:c r="O14" s="33" t="str">
        <x:v>Proposed</x:v>
      </x:c>
      <x:c r="P14" s="33" t="str">
        <x:v>2026-09-15: .intentgraph/evidence/ux-fixes-2026-09-15/local-commands.json; browser test exit 0. Mocked requests; owner acceptance pending.</x:v>
      </x:c>
    </x:row>
    <x:row r="15" ht="49" customHeight="1">
      <x:c r="A15" s="35" t="str">
        <x:v>UX-010</x:v>
      </x:c>
      <x:c r="B15" s="28" t="str">
        <x:v>Navigation</x:v>
      </x:c>
      <x:c r="C15" s="28" t="str">
        <x:v>Pin important conversations</x:v>
      </x:c>
      <x:c r="D15" s="28" t="str">
        <x:v>Present</x:v>
      </x:c>
      <x:c r="E15" s="28" t="str">
        <x:v>Pin controls exposed for conversations.</x:v>
      </x:c>
      <x:c r="F15" s="28" t="str">
        <x:v>Unverified</x:v>
      </x:c>
      <x:c r="G15" s="28" t="str">
        <x:v>Documented: pin chats and projects [C2]</x:v>
      </x:c>
      <x:c r="H15" s="28" t="str">
        <x:v>Documented: session organization [D1]</x:v>
      </x:c>
      <x:c r="I15" s="28" t="str">
        <x:v>Keep pin behavior and make state obvious.</x:v>
      </x:c>
      <x:c r="J15" s="28" t="str">
        <x:v>P2</x:v>
      </x:c>
      <x:c r="K15" s="28" t="str">
        <x:v>Keep</x:v>
      </x:c>
      <x:c r="L15" s="28" t="str">
        <x:v>Persistence regression</x:v>
      </x:c>
      <x:c r="M15" s="28" t="str">
        <x:v>Pinned items remain accessible and retain order after reload.</x:v>
      </x:c>
      <x:c r="N15" s="28" t="str">
        <x:v>Verified</x:v>
      </x:c>
      <x:c r="O15" s="28" t="str">
        <x:v>Preserve</x:v>
      </x:c>
      <x:c r="P15" s="28" t="str">
        <x:v>2026-09-16: preservation audit PASS. .intentgraph/evidence/project-navigation.json (pin/reload/order) Owner acceptance remains separate.</x:v>
      </x:c>
    </x:row>
    <x:row r="16" ht="62" customHeight="1">
      <x:c r="A16" s="36" t="str">
        <x:v>UX-011</x:v>
      </x:c>
      <x:c r="B16" s="33" t="str">
        <x:v>Navigation</x:v>
      </x:c>
      <x:c r="C16" s="33" t="str">
        <x:v>Rename conversations</x:v>
      </x:c>
      <x:c r="D16" s="33" t="str">
        <x:v>Present</x:v>
      </x:c>
      <x:c r="E16" s="33" t="str">
        <x:v>Chat actions and naming flows exist.</x:v>
      </x:c>
      <x:c r="F16" s="33" t="str">
        <x:v>Unverified</x:v>
      </x:c>
      <x:c r="G16" s="33" t="str">
        <x:v>Documented: rename chats [C2]</x:v>
      </x:c>
      <x:c r="H16" s="33" t="str">
        <x:v>Documented: session management [D1]</x:v>
      </x:c>
      <x:c r="I16" s="33" t="str">
        <x:v>Keep rename distinct from coworker rename.</x:v>
      </x:c>
      <x:c r="J16" s="33" t="str">
        <x:v>P2</x:v>
      </x:c>
      <x:c r="K16" s="33" t="str">
        <x:v>Keep</x:v>
      </x:c>
      <x:c r="L16" s="33" t="str">
        <x:v>Identity rules</x:v>
      </x:c>
      <x:c r="M16" s="33" t="str">
        <x:v>Renaming a conversation never renames its coworker unexpectedly.</x:v>
      </x:c>
      <x:c r="N16" s="33" t="str">
        <x:v>Verified</x:v>
      </x:c>
      <x:c r="O16" s="33" t="str">
        <x:v>Preserve</x:v>
      </x:c>
      <x:c r="P16" s="33" t="str">
        <x:v>2026-09-16: preservation audit PASS. .intentgraph/evidence/pending-88-20260916/preserved-audit.json (chatTitle changed; coworkerName unchanged) Owner acceptance remains separate.</x:v>
      </x:c>
    </x:row>
    <x:row r="17" ht="62" customHeight="1">
      <x:c r="A17" s="35" t="str">
        <x:v>UX-012</x:v>
      </x:c>
      <x:c r="B17" s="28" t="str">
        <x:v>Navigation</x:v>
      </x:c>
      <x:c r="C17" s="28" t="str">
        <x:v>Sections and ordering</x:v>
      </x:c>
      <x:c r="D17" s="28" t="str">
        <x:v>Present</x:v>
      </x:c>
      <x:c r="E17" s="28" t="str">
        <x:v>Sections can be renamed and moved up/down. Boundaries are disabled, order persists after reload, and failed saves preserve order and focus. Grouping retains existing conversation histories.</x:v>
      </x:c>
      <x:c r="F17" s="28" t="str">
        <x:v>Observed: Direct and custom sections [G1]</x:v>
      </x:c>
      <x:c r="G17" s="28" t="str">
        <x:v>Observed: Pinned and Projects [C0]</x:v>
      </x:c>
      <x:c r="H17" s="28" t="str">
        <x:v>Documented: sessions grouped in sidebar [D1]</x:v>
      </x:c>
      <x:c r="I17" s="28" t="str">
        <x:v>Use optional lightweight folders after coworker-first entry is clear.</x:v>
      </x:c>
      <x:c r="J17" s="28" t="str">
        <x:v>P2</x:v>
      </x:c>
      <x:c r="K17" s="28" t="str">
        <x:v>2 Chat</x:v>
      </x:c>
      <x:c r="L17" s="28" t="str">
        <x:v>UX-007</x:v>
      </x:c>
      <x:c r="M17" s="28" t="str">
        <x:v>Grouping never implies coordinated agent execution or hides old histories.</x:v>
      </x:c>
      <x:c r="N17" s="28" t="str">
        <x:v>Verified</x:v>
      </x:c>
      <x:c r="O17" s="28" t="str">
        <x:v>Proposed</x:v>
      </x:c>
      <x:c r="P17" s="28" t="str">
        <x:v>2026-09-16: navigation.json; isolated browser test exit 0. Section boundaries, reload, failed-save atomicity and focus verified. Owner acceptance pending.</x:v>
      </x:c>
    </x:row>
    <x:row r="18" ht="88" customHeight="1">
      <x:c r="A18" s="36" t="str">
        <x:v>UX-013</x:v>
      </x:c>
      <x:c r="B18" s="33" t="str">
        <x:v>Navigation</x:v>
      </x:c>
      <x:c r="C18" s="33" t="str">
        <x:v>Sidebar collapse and resize</x:v>
      </x:c>
      <x:c r="D18" s="33" t="str">
        <x:v>Present</x:v>
      </x:c>
      <x:c r="E18" s="33" t="str">
        <x:v>Collapse and resize controls implemented.</x:v>
      </x:c>
      <x:c r="F18" s="33" t="str">
        <x:v>Unverified</x:v>
      </x:c>
      <x:c r="G18" s="33" t="str">
        <x:v>Observed: collapsible sidebar and split pane [C0]</x:v>
      </x:c>
      <x:c r="H18" s="33" t="str">
        <x:v>Documented: adjustable pane layout [D1]</x:v>
      </x:c>
      <x:c r="I18" s="33" t="str">
        <x:v>Preserve width and keyboard resizing.</x:v>
      </x:c>
      <x:c r="J18" s="33" t="str">
        <x:v>P2</x:v>
      </x:c>
      <x:c r="K18" s="33" t="str">
        <x:v>Keep</x:v>
      </x:c>
      <x:c r="L18" s="33" t="str">
        <x:v>Responsive checks</x:v>
      </x:c>
      <x:c r="M18" s="33" t="str">
        <x:v>Collapse and resize leave active chat and composer usable.</x:v>
      </x:c>
      <x:c r="N18" s="33" t="str">
        <x:v>Verified</x:v>
      </x:c>
      <x:c r="O18" s="33" t="str">
        <x:v>Preserve</x:v>
      </x:c>
      <x:c r="P18" s="33" t="str">
        <x:v>2026-09-16: preservation audit PASS. .intentgraph/evidence/pending-88-20260916/accessibility-results.json (UX096 PASS at 320/390/760/1440; page/body bounds); .intentgraph/evidence/project-navigation.json (persistent collapse) Owner acceptance remains separate.</x:v>
      </x:c>
    </x:row>
    <x:row r="19" ht="75" customHeight="1">
      <x:c r="A19" s="35" t="str">
        <x:v>UX-014</x:v>
      </x:c>
      <x:c r="B19" s="28" t="str">
        <x:v>Navigation</x:v>
      </x:c>
      <x:c r="C19" s="28" t="str">
        <x:v>Back and forward navigation</x:v>
      </x:c>
      <x:c r="D19" s="28" t="str">
        <x:v>Present</x:v>
      </x:c>
      <x:c r="E19" s="28" t="str">
        <x:v>Internal conversation Back/Forward preserves each draft and scroll position. Valid session history survives reload; new visits truncate forward history. Unsaved document guards remain active.</x:v>
      </x:c>
      <x:c r="F19" s="28" t="str">
        <x:v>Unverified</x:v>
      </x:c>
      <x:c r="G19" s="28" t="str">
        <x:v>Observed: back and forward controls [C0]</x:v>
      </x:c>
      <x:c r="H19" s="28" t="str">
        <x:v>Unverified</x:v>
      </x:c>
      <x:c r="I19" s="28" t="str">
        <x:v>Add predictable history navigation if user workflows require it.</x:v>
      </x:c>
      <x:c r="J19" s="28" t="str">
        <x:v>P3</x:v>
      </x:c>
      <x:c r="K19" s="28" t="str">
        <x:v>2 Chat</x:v>
      </x:c>
      <x:c r="L19" s="28" t="str">
        <x:v>Navigation state review</x:v>
      </x:c>
      <x:c r="M19" s="28" t="str">
        <x:v>Back returns to previous chat without dropping draft or executing a request.</x:v>
      </x:c>
      <x:c r="N19" s="28" t="str">
        <x:v>Verified</x:v>
      </x:c>
      <x:c r="O19" s="28" t="str">
        <x:v>Investigate</x:v>
      </x:c>
      <x:c r="P19" s="28" t="str">
        <x:v>2026-09-16: navigation.json; isolated browser test exit 0. Draft/scroll, reload, forward history, invalid storage, unsaved guards and 320-1440px bounds verified. No provider calls. Owner acceptance pending.</x:v>
      </x:c>
    </x:row>
    <x:row r="20" ht="75" customHeight="1">
      <x:c r="A20" s="36" t="str">
        <x:v>UX-015</x:v>
      </x:c>
      <x:c r="B20" s="33" t="str">
        <x:v>Search</x:v>
      </x:c>
      <x:c r="C20" s="33" t="str">
        <x:v>Workspace search</x:v>
      </x:c>
      <x:c r="D20" s="33" t="str">
        <x:v>Present</x:v>
      </x:c>
      <x:c r="E20" s="33" t="str">
        <x:v>Dialog searches names, saved messages and attachment names.</x:v>
      </x:c>
      <x:c r="F20" s="33" t="str">
        <x:v>Observed: search field [G1]</x:v>
      </x:c>
      <x:c r="G20" s="33" t="str">
        <x:v>Documented: search chats [C2]</x:v>
      </x:c>
      <x:c r="H20" s="33" t="str">
        <x:v>Documented: session search [D1]</x:v>
      </x:c>
      <x:c r="I20" s="33" t="str">
        <x:v>Keep local search with clear scope and keyboard entry.</x:v>
      </x:c>
      <x:c r="J20" s="33" t="str">
        <x:v>P2</x:v>
      </x:c>
      <x:c r="K20" s="33" t="str">
        <x:v>Keep</x:v>
      </x:c>
      <x:c r="L20" s="33" t="str">
        <x:v>Result accuracy checks</x:v>
      </x:c>
      <x:c r="M20" s="33" t="str">
        <x:v>Known saved phrase resolves to the correct conversation.</x:v>
      </x:c>
      <x:c r="N20" s="33" t="str">
        <x:v>Verified</x:v>
      </x:c>
      <x:c r="O20" s="33" t="str">
        <x:v>Preserve</x:v>
      </x:c>
      <x:c r="P20" s="33" t="str">
        <x:v>2026-09-16: preservation audit PASS. .intentgraph/evidence/ux-fixes-2026-09-15/history-navigation.json (saved phrase, coworker/conversation filters, exact result navigation) Owner acceptance remains separate.</x:v>
      </x:c>
    </x:row>
    <x:row r="21" ht="62" customHeight="1">
      <x:c r="A21" s="35" t="str">
        <x:v>UX-016</x:v>
      </x:c>
      <x:c r="B21" s="28" t="str">
        <x:v>Search</x:v>
      </x:c>
      <x:c r="C21" s="28" t="str">
        <x:v>Search filters and results</x:v>
      </x:c>
      <x:c r="D21" s="28" t="str">
        <x:v>Present</x:v>
      </x:c>
      <x:c r="E21" s="28" t="str">
        <x:v>Coworker, conversation and result-type filters; snippets, destinations, empty state and exact message focus verified.</x:v>
      </x:c>
      <x:c r="F21" s="28" t="str">
        <x:v>Unverified</x:v>
      </x:c>
      <x:c r="G21" s="28" t="str">
        <x:v>Documented: project and chat search [C2]</x:v>
      </x:c>
      <x:c r="H21" s="28" t="str">
        <x:v>Unverified</x:v>
      </x:c>
      <x:c r="I21" s="28" t="str">
        <x:v>Show result type, snippet and destination; make empty results useful.</x:v>
      </x:c>
      <x:c r="J21" s="28" t="str">
        <x:v>P2</x:v>
      </x:c>
      <x:c r="K21" s="28" t="str">
        <x:v>2 Chat</x:v>
      </x:c>
      <x:c r="L21" s="28" t="str">
        <x:v>Search index</x:v>
      </x:c>
      <x:c r="M21" s="28" t="str">
        <x:v>Filter by coworker or conversation and open exact result context.</x:v>
      </x:c>
      <x:c r="N21" s="28" t="str">
        <x:v>Verified</x:v>
      </x:c>
      <x:c r="O21" s="28" t="str">
        <x:v>Proposed</x:v>
      </x:c>
      <x:c r="P21" s="28" t="str">
        <x:v>2026-09-15: .intentgraph/evidence/ux-fixes-2026-09-15/history-navigation.json; verify-history-navigation.cjs exit 0. Isolated mocked chat; owner acceptance pending.</x:v>
      </x:c>
    </x:row>
    <x:row r="22" ht="62" customHeight="1">
      <x:c r="A22" s="36" t="str">
        <x:v>UX-017</x:v>
      </x:c>
      <x:c r="B22" s="33" t="str">
        <x:v>Search</x:v>
      </x:c>
      <x:c r="C22" s="33" t="str">
        <x:v>Find within conversation</x:v>
      </x:c>
      <x:c r="D22" s="33" t="str">
        <x:v>Present</x:v>
      </x:c>
      <x:c r="E22" s="33" t="str">
        <x:v>In-conversation find with Ctrl/Cmd+F, occurrence count, previous/next, exact text highlights and focus restoration.</x:v>
      </x:c>
      <x:c r="F22" s="33" t="str">
        <x:v>Unverified</x:v>
      </x:c>
      <x:c r="G22" s="33" t="str">
        <x:v>Documented: find in chat [C4]</x:v>
      </x:c>
      <x:c r="H22" s="33" t="str">
        <x:v>Documented: transcript search [D2]</x:v>
      </x:c>
      <x:c r="I22" s="33" t="str">
        <x:v>Add match count, previous/next, and scroll-to-message.</x:v>
      </x:c>
      <x:c r="J22" s="33" t="str">
        <x:v>P2</x:v>
      </x:c>
      <x:c r="K22" s="33" t="str">
        <x:v>2 Chat</x:v>
      </x:c>
      <x:c r="L22" s="33" t="str">
        <x:v>Message IDs</x:v>
      </x:c>
      <x:c r="M22" s="33" t="str">
        <x:v>Searching a repeated term visits every match without losing composer draft.</x:v>
      </x:c>
      <x:c r="N22" s="33" t="str">
        <x:v>Verified</x:v>
      </x:c>
      <x:c r="O22" s="33" t="str">
        <x:v>Proposed</x:v>
      </x:c>
      <x:c r="P22" s="33" t="str">
        <x:v>2026-09-15: .intentgraph/evidence/ux-fixes-2026-09-15/chat-interactions.json; verify-chat-interactions.cjs exit 0. Mocked requests; owner acceptance pending.</x:v>
      </x:c>
    </x:row>
    <x:row r="23" ht="49" customHeight="1">
      <x:c r="A23" s="35" t="str">
        <x:v>UX-018</x:v>
      </x:c>
      <x:c r="B23" s="28" t="str">
        <x:v>Search</x:v>
      </x:c>
      <x:c r="C23" s="28" t="str">
        <x:v>Command palette</x:v>
      </x:c>
      <x:c r="D23" s="28" t="str">
        <x:v>Present</x:v>
      </x:c>
      <x:c r="E23" s="28" t="str">
        <x:v>Searchable command palette with keyboard navigation, context availability, modal safety and focus restoration.</x:v>
      </x:c>
      <x:c r="F23" s="28" t="str">
        <x:v>Unverified</x:v>
      </x:c>
      <x:c r="G23" s="28" t="str">
        <x:v>Documented: command menu [C4]</x:v>
      </x:c>
      <x:c r="H23" s="28" t="str">
        <x:v>Documented: slash command list [D2]</x:v>
      </x:c>
      <x:c r="I23" s="28" t="str">
        <x:v>Add searchable actions with shortcuts, disabled reasons and context.</x:v>
      </x:c>
      <x:c r="J23" s="28" t="str">
        <x:v>P2</x:v>
      </x:c>
      <x:c r="K23" s="28" t="str">
        <x:v>2 Chat</x:v>
      </x:c>
      <x:c r="L23" s="28" t="str">
        <x:v>Stable action registry</x:v>
      </x:c>
      <x:c r="M23" s="28" t="str">
        <x:v>Keyboard opens palette; selected action works in current chat; Escape restores focus.</x:v>
      </x:c>
      <x:c r="N23" s="28" t="str">
        <x:v>Verified</x:v>
      </x:c>
      <x:c r="O23" s="28" t="str">
        <x:v>Proposed</x:v>
      </x:c>
      <x:c r="P23" s="28" t="str">
        <x:v>2026-09-15: .intentgraph/evidence/ux-fixes-2026-09-15/local-commands.json; browser test exit 0. Mocked requests; owner acceptance pending.</x:v>
      </x:c>
    </x:row>
    <x:row r="24" ht="62" customHeight="1">
      <x:c r="A24" s="36" t="str">
        <x:v>UX-019</x:v>
      </x:c>
      <x:c r="B24" s="33" t="str">
        <x:v>Composer</x:v>
      </x:c>
      <x:c r="C24" s="33" t="str">
        <x:v>Multiline input and send</x:v>
      </x:c>
      <x:c r="D24" s="33" t="str">
        <x:v>Present</x:v>
      </x:c>
      <x:c r="E24" s="33" t="str">
        <x:v>Textarea, attachment button and disabled-empty send.</x:v>
      </x:c>
      <x:c r="F24" s="33" t="str">
        <x:v>Observed: compact message field [G1]</x:v>
      </x:c>
      <x:c r="G24" s="33" t="str">
        <x:v>Observed: composer with send/stop [C0]</x:v>
      </x:c>
      <x:c r="H24" s="33" t="str">
        <x:v>Documented: prompt input [D1]</x:v>
      </x:c>
      <x:c r="I24" s="33" t="str">
        <x:v>Keep familiar Enter and Shift+Enter behavior and a compact idle composer.</x:v>
      </x:c>
      <x:c r="J24" s="33" t="str">
        <x:v>P2</x:v>
      </x:c>
      <x:c r="K24" s="33" t="str">
        <x:v>Keep</x:v>
      </x:c>
      <x:c r="L24" s="33" t="str">
        <x:v>IME and long-input checks</x:v>
      </x:c>
      <x:c r="M24" s="33" t="str">
        <x:v>Empty send disabled. Multiline text and IME composition do not send accidentally.</x:v>
      </x:c>
      <x:c r="N24" s="33" t="str">
        <x:v>Verified</x:v>
      </x:c>
      <x:c r="O24" s="33" t="str">
        <x:v>Preserve</x:v>
      </x:c>
      <x:c r="P24" s="33" t="str">
        <x:v>2026-09-16: preservation audit PASS. .intentgraph/evidence/pending-88-20260916/preserved-audit.json (emptyDisabled=true, multilineHeld=true, imeHeld=true, calls=0) Owner acceptance remains separate.</x:v>
      </x:c>
    </x:row>
    <x:row r="25" ht="62" customHeight="1">
      <x:c r="A25" s="35" t="str">
        <x:v>UX-020</x:v>
      </x:c>
      <x:c r="B25" s="28" t="str">
        <x:v>Composer</x:v>
      </x:c>
      <x:c r="C25" s="28" t="str">
        <x:v>Draft preservation</x:v>
      </x:c>
      <x:c r="D25" s="28" t="str">
        <x:v>Present</x:v>
      </x:c>
      <x:c r="E25" s="28" t="str">
        <x:v>Per-chat drafts are stored locally.</x:v>
      </x:c>
      <x:c r="F25" s="28" t="str">
        <x:v>Unverified</x:v>
      </x:c>
      <x:c r="G25" s="28" t="str">
        <x:v>Unverified</x:v>
      </x:c>
      <x:c r="H25" s="28" t="str">
        <x:v>Documented: session context [D1]</x:v>
      </x:c>
      <x:c r="I25" s="28" t="str">
        <x:v>Preserve drafts across chat switches and reload.</x:v>
      </x:c>
      <x:c r="J25" s="28" t="str">
        <x:v>P1</x:v>
      </x:c>
      <x:c r="K25" s="28" t="str">
        <x:v>Keep</x:v>
      </x:c>
      <x:c r="L25" s="28" t="str">
        <x:v>Storage regression</x:v>
      </x:c>
      <x:c r="M25" s="28" t="str">
        <x:v>Two chats retain different unsent drafts after switching and reload.</x:v>
      </x:c>
      <x:c r="N25" s="28" t="str">
        <x:v>Verified</x:v>
      </x:c>
      <x:c r="O25" s="28" t="str">
        <x:v>Preserve</x:v>
      </x:c>
      <x:c r="P25" s="28" t="str">
        <x:v>2026-09-16: preservation audit PASS. .intentgraph/evidence/ux-pipeline-2026-09-16/navigation.json (back/forward preserves two drafts and reload) Owner acceptance remains separate.</x:v>
      </x:c>
    </x:row>
    <x:row r="26" ht="62" customHeight="1">
      <x:c r="A26" s="36" t="str">
        <x:v>UX-021</x:v>
      </x:c>
      <x:c r="B26" s="33" t="str">
        <x:v>Composer</x:v>
      </x:c>
      <x:c r="C26" s="33" t="str">
        <x:v>Attachment selection and removal</x:v>
      </x:c>
      <x:c r="D26" s="33" t="str">
        <x:v>Present</x:v>
      </x:c>
      <x:c r="E26" s="33" t="str">
        <x:v>Selected UTF-8 text files are validated locally. Explicit Send includes exact contents in saved request text. Unsupported files remain labeled/removable; previous-session names require reattachment.</x:v>
      </x:c>
      <x:c r="F26" s="33" t="str">
        <x:v>Observed: attachment entry visible [G1]</x:v>
      </x:c>
      <x:c r="G26" s="33" t="str">
        <x:v>Documented: files and folders [C1]</x:v>
      </x:c>
      <x:c r="H26" s="33" t="str">
        <x:v>Documented: file and image attachment [D1]</x:v>
      </x:c>
      <x:c r="I26" s="33" t="str">
        <x:v>Show file type, size, readiness, removal and errors before send.</x:v>
      </x:c>
      <x:c r="J26" s="33" t="str">
        <x:v>P1</x:v>
      </x:c>
      <x:c r="K26" s="33" t="str">
        <x:v>2 Chat</x:v>
      </x:c>
      <x:c r="L26" s="33" t="str">
        <x:v>Backend attachment support</x:v>
      </x:c>
      <x:c r="M26" s="33" t="str">
        <x:v>Unsupported attachments are labeled before send; supported contents reach model context.</x:v>
      </x:c>
      <x:c r="N26" s="33" t="str">
        <x:v>Verified</x:v>
      </x:c>
      <x:c r="O26" s="33" t="str">
        <x:v>Proposed</x:v>
      </x:c>
      <x:c r="P26" s="33" t="str">
        <x:v>2026-09-16: attachments.json; verify-attachments-unit.cjs. Isolated tests passed; no live provider/device call. Owner acceptance pending.</x:v>
      </x:c>
    </x:row>
    <x:row r="27" ht="49" customHeight="1">
      <x:c r="A27" s="35" t="str">
        <x:v>UX-022</x:v>
      </x:c>
      <x:c r="B27" s="28" t="str">
        <x:v>Composer</x:v>
      </x:c>
      <x:c r="C27" s="28" t="str">
        <x:v>Drag-drop and clipboard files</x:v>
      </x:c>
      <x:c r="D27" s="28" t="str">
        <x:v>Present</x:v>
      </x:c>
      <x:c r="E27" s="28" t="str">
        <x:v>Composer file drop and clipboard-file paste create usable text attachments; unsupported and oversized files give recovery instructions.</x:v>
      </x:c>
      <x:c r="F27" s="28" t="str">
        <x:v>Unverified</x:v>
      </x:c>
      <x:c r="G27" s="28" t="str">
        <x:v>Unverified</x:v>
      </x:c>
      <x:c r="H27" s="28" t="str">
        <x:v>Documented: drag-drop attachments [D1]</x:v>
      </x:c>
      <x:c r="I27" s="28" t="str">
        <x:v>Implement only supported types with visible readiness.</x:v>
      </x:c>
      <x:c r="J27" s="28" t="str">
        <x:v>P2</x:v>
      </x:c>
      <x:c r="K27" s="28" t="str">
        <x:v>2 Chat</x:v>
      </x:c>
      <x:c r="L27" s="28" t="str">
        <x:v>UX-020</x:v>
      </x:c>
      <x:c r="M27" s="28" t="str">
        <x:v>Paste/drop valid file creates one usable attachment. Invalid type shows recovery.</x:v>
      </x:c>
      <x:c r="N27" s="28" t="str">
        <x:v>Verified</x:v>
      </x:c>
      <x:c r="O27" s="28" t="str">
        <x:v>Investigate</x:v>
      </x:c>
      <x:c r="P27" s="28" t="str">
        <x:v>2026-09-16: attachments.json. Isolated tests passed; no live provider/device call. Owner acceptance pending.</x:v>
      </x:c>
    </x:row>
    <x:row r="28" ht="42" customHeight="1">
      <x:c r="A28" s="36" t="str">
        <x:v>UX-023</x:v>
      </x:c>
      <x:c r="B28" s="33" t="str">
        <x:v>Composer</x:v>
      </x:c>
      <x:c r="C28" s="33" t="str">
        <x:v>File or device mentions</x:v>
      </x:c>
      <x:c r="D28" s="33" t="str">
        <x:v>Missing</x:v>
      </x:c>
      <x:c r="E28" s="33" t="str">
        <x:v>No contextual @ picker in active shell.</x:v>
      </x:c>
      <x:c r="F28" s="33" t="str">
        <x:v>Unverified</x:v>
      </x:c>
      <x:c r="G28" s="33" t="str">
        <x:v>Documented: file search and context [C4]</x:v>
      </x:c>
      <x:c r="H28" s="33" t="str">
        <x:v>Documented: @ file mentions [D1]</x:v>
      </x:c>
      <x:c r="I28" s="33" t="str">
        <x:v>Add @device and @document chips that identify exact scope.</x:v>
      </x:c>
      <x:c r="J28" s="33" t="str">
        <x:v>P2</x:v>
      </x:c>
      <x:c r="K28" s="33" t="str">
        <x:v>3 Trusted work</x:v>
      </x:c>
      <x:c r="L28" s="33" t="str">
        <x:v>Inventory/document context contract</x:v>
      </x:c>
      <x:c r="M28" s="33" t="str">
        <x:v>Mention resolves to a stable ID; unavailable devices cannot appear connected.</x:v>
      </x:c>
      <x:c r="N28" s="33" t="str">
        <x:v>Not started</x:v>
      </x:c>
      <x:c r="O28" s="33" t="str">
        <x:v>Proposed</x:v>
      </x:c>
      <x:c r="P28" s="33" t="str">
        <x:v>polished.html; polished.js; polished.js:213-265,408-437</x:v>
      </x:c>
    </x:row>
    <x:row r="29" ht="62" customHeight="1">
      <x:c r="A29" s="35" t="str">
        <x:v>UX-024</x:v>
      </x:c>
      <x:c r="B29" s="28" t="str">
        <x:v>Composer</x:v>
      </x:c>
      <x:c r="C29" s="28" t="str">
        <x:v>Reply to a message</x:v>
      </x:c>
      <x:c r="D29" s="28" t="str">
        <x:v>Present</x:v>
      </x:c>
      <x:c r="E29" s="28" t="str">
        <x:v>Reply selects a cancellable, saved quote. Explicit Send or queue carries the bounded quote; reload, limits and absent target handling verified.</x:v>
      </x:c>
      <x:c r="F29" s="28" t="str">
        <x:v>Observed: Reply menu action [G1]</x:v>
      </x:c>
      <x:c r="G29" s="28" t="str">
        <x:v>Unverified</x:v>
      </x:c>
      <x:c r="H29" s="28" t="str">
        <x:v>Documented: side questions, not equivalent [D1]</x:v>
      </x:c>
      <x:c r="I29" s="28" t="str">
        <x:v>Add reply preview with cancel and a link to original message.</x:v>
      </x:c>
      <x:c r="J29" s="28" t="str">
        <x:v>P2</x:v>
      </x:c>
      <x:c r="K29" s="28" t="str">
        <x:v>2 Chat</x:v>
      </x:c>
      <x:c r="L29" s="28" t="str">
        <x:v>Message IDs and context rules</x:v>
      </x:c>
      <x:c r="M29" s="28" t="str">
        <x:v>Reply identifies source message; cancel removes reference without deleting draft.</x:v>
      </x:c>
      <x:c r="N29" s="28" t="str">
        <x:v>Verified</x:v>
      </x:c>
      <x:c r="O29" s="28" t="str">
        <x:v>Proposed</x:v>
      </x:c>
      <x:c r="P29" s="28" t="str">
        <x:v>2026-09-15: .intentgraph/evidence/ux-fixes-2026-09-15/chat-interactions.json; verify-chat-interactions.cjs exit 0. Mocked requests; owner acceptance pending.</x:v>
      </x:c>
    </x:row>
    <x:row r="30" ht="49" customHeight="1">
      <x:c r="A30" s="36" t="str">
        <x:v>UX-025</x:v>
      </x:c>
      <x:c r="B30" s="33" t="str">
        <x:v>Composer</x:v>
      </x:c>
      <x:c r="C30" s="33" t="str">
        <x:v>Edit and resend a prompt</x:v>
      </x:c>
      <x:c r="D30" s="33" t="str">
        <x:v>Present</x:v>
      </x:c>
      <x:c r="E30" s="33" t="str">
        <x:v>Explicit edit and resend; original history recoverable in a local copy, composer draft preserved, busy/queue and length guards verified.</x:v>
      </x:c>
      <x:c r="F30" s="33" t="str">
        <x:v>Unverified</x:v>
      </x:c>
      <x:c r="G30" s="33" t="str">
        <x:v>Unverified</x:v>
      </x:c>
      <x:c r="H30" s="33" t="str">
        <x:v>Documented: prompt history and rewind [D2]</x:v>
      </x:c>
      <x:c r="I30" s="33" t="str">
        <x:v>Support editing with explicit context boundary and retained history.</x:v>
      </x:c>
      <x:c r="J30" s="33" t="str">
        <x:v>P2</x:v>
      </x:c>
      <x:c r="K30" s="33" t="str">
        <x:v>2 Chat</x:v>
      </x:c>
      <x:c r="L30" s="33" t="str">
        <x:v>Revert safeguards</x:v>
      </x:c>
      <x:c r="M30" s="33" t="str">
        <x:v>User can review edited prompt before send; earlier device commands are never reversed or repeated silently.</x:v>
      </x:c>
      <x:c r="N30" s="33" t="str">
        <x:v>Verified</x:v>
      </x:c>
      <x:c r="O30" s="33" t="str">
        <x:v>Proposed</x:v>
      </x:c>
      <x:c r="P30" s="33" t="str">
        <x:v>2026-09-15: .intentgraph/evidence/ux-fixes-2026-09-15/edit-rendering.json; browser test exit 0. Mocked requests; owner acceptance pending.</x:v>
      </x:c>
    </x:row>
    <x:row r="31" ht="42" customHeight="1">
      <x:c r="A31" s="35" t="str">
        <x:v>UX-026</x:v>
      </x:c>
      <x:c r="B31" s="28" t="str">
        <x:v>Composer</x:v>
      </x:c>
      <x:c r="C31" s="28" t="str">
        <x:v>Voice dictation</x:v>
      </x:c>
      <x:c r="D31" s="28" t="str">
        <x:v>Missing</x:v>
      </x:c>
      <x:c r="E31" s="28" t="str">
        <x:v>No microphone input in Aven.</x:v>
      </x:c>
      <x:c r="F31" s="28" t="str">
        <x:v>Observed: microphone button visible; transcription untested [G1]</x:v>
      </x:c>
      <x:c r="G31" s="28" t="str">
        <x:v>Observed: microphone button visible [C0]</x:v>
      </x:c>
      <x:c r="H31" s="28" t="str">
        <x:v>Documented: voice input [D2]</x:v>
      </x:c>
      <x:c r="I31" s="28" t="str">
        <x:v>Defer until microphone, transcript review and provider privacy are defined.</x:v>
      </x:c>
      <x:c r="J31" s="28" t="str">
        <x:v>P3</x:v>
      </x:c>
      <x:c r="K31" s="28" t="str">
        <x:v>4 Extend</x:v>
      </x:c>
      <x:c r="L31" s="28" t="str">
        <x:v>Voice backend and permission UX</x:v>
      </x:c>
      <x:c r="M31" s="28" t="str">
        <x:v>Recording indicator and cancel work; transcript is editable before sending.</x:v>
      </x:c>
      <x:c r="N31" s="28" t="str">
        <x:v>Not started</x:v>
      </x:c>
      <x:c r="O31" s="28" t="str">
        <x:v>Proposed</x:v>
      </x:c>
      <x:c r="P31" s="28" t="str">
        <x:v>polished.html composer; polished.js:213-265,408-437</x:v>
      </x:c>
    </x:row>
    <x:row r="32" ht="42" customHeight="1">
      <x:c r="A32" s="36" t="str">
        <x:v>UX-027</x:v>
      </x:c>
      <x:c r="B32" s="33" t="str">
        <x:v>Composer</x:v>
      </x:c>
      <x:c r="C32" s="33" t="str">
        <x:v>Model and effort picker</x:v>
      </x:c>
      <x:c r="D32" s="33" t="str">
        <x:v>Partial</x:v>
      </x:c>
      <x:c r="E32" s="33" t="str">
        <x:v>Active OpenCode shown; preferred model field does not change runtime.</x:v>
      </x:c>
      <x:c r="F32" s="33" t="str">
        <x:v>Unverified</x:v>
      </x:c>
      <x:c r="G32" s="33" t="str">
        <x:v>Observed: model and effort in composer [C0]</x:v>
      </x:c>
      <x:c r="H32" s="33" t="str">
        <x:v>Documented: model and effort controls [D1]</x:v>
      </x:c>
      <x:c r="I32" s="33" t="str">
        <x:v>Show actual model; enable selection only for connected supported providers.</x:v>
      </x:c>
      <x:c r="J32" s="33" t="str">
        <x:v>P1</x:v>
      </x:c>
      <x:c r="K32" s="33" t="str">
        <x:v>3 Trusted work</x:v>
      </x:c>
      <x:c r="L32" s="33" t="str">
        <x:v>Provider routing</x:v>
      </x:c>
      <x:c r="M32" s="33" t="str">
        <x:v>Picker change is reflected in the next request and response provenance.</x:v>
      </x:c>
      <x:c r="N32" s="33" t="str">
        <x:v>Not started</x:v>
      </x:c>
      <x:c r="O32" s="33" t="str">
        <x:v>Proposed</x:v>
      </x:c>
      <x:c r="P32" s="33" t="str">
        <x:v>A0 Settings Models; agent-runtime.cjs; polished.js:213-265,408-437</x:v>
      </x:c>
    </x:row>
    <x:row r="33" ht="75" customHeight="1">
      <x:c r="A33" s="35" t="str">
        <x:v>UX-028</x:v>
      </x:c>
      <x:c r="B33" s="28" t="str">
        <x:v>Execution</x:v>
      </x:c>
      <x:c r="C33" s="28" t="str">
        <x:v>Streamed response and activity</x:v>
      </x:c>
      <x:c r="D33" s="28" t="str">
        <x:v>Present</x:v>
      </x:c>
      <x:c r="E33" s="28" t="str">
        <x:v>Chat streams and expandable activity/evidence exist.</x:v>
      </x:c>
      <x:c r="F33" s="28" t="str">
        <x:v>Observed: message transcript [G1]</x:v>
      </x:c>
      <x:c r="G33" s="28" t="str">
        <x:v>Observed: progress summaries [C0]</x:v>
      </x:c>
      <x:c r="H33" s="28" t="str">
        <x:v>Documented: live transcript [D1]</x:v>
      </x:c>
      <x:c r="I33" s="28" t="str">
        <x:v>Preserve smooth updates and readable final result.</x:v>
      </x:c>
      <x:c r="J33" s="28" t="str">
        <x:v>P1</x:v>
      </x:c>
      <x:c r="K33" s="28" t="str">
        <x:v>Keep</x:v>
      </x:c>
      <x:c r="L33" s="28" t="str">
        <x:v>Stream regression</x:v>
      </x:c>
      <x:c r="M33" s="28" t="str">
        <x:v>No duplicate final text or evidence when a stream finishes.</x:v>
      </x:c>
      <x:c r="N33" s="28" t="str">
        <x:v>Verified</x:v>
      </x:c>
      <x:c r="O33" s="28" t="str">
        <x:v>Preserve</x:v>
      </x:c>
      <x:c r="P33" s="28" t="str">
        <x:v>2026-09-16: preservation audit PASS. isolated run `node .intentgraph/runtime/verify-agent-stream-ui.cjs`; .intentgraph/evidence/chat-polish.json (one terminal despite duplicate event/final) Owner acceptance remains separate.</x:v>
      </x:c>
    </x:row>
    <x:row r="34" ht="49" customHeight="1">
      <x:c r="A34" s="36" t="str">
        <x:v>UX-029</x:v>
      </x:c>
      <x:c r="B34" s="33" t="str">
        <x:v>Execution</x:v>
      </x:c>
      <x:c r="C34" s="33" t="str">
        <x:v>Stop a running request</x:v>
      </x:c>
      <x:c r="D34" s="33" t="str">
        <x:v>Present</x:v>
      </x:c>
      <x:c r="E34" s="33" t="str">
        <x:v>Stop aborts the request, pauses queued work and explicitly marks submitted remote completion UNKNOWN. Captured evidence remains inspectable.</x:v>
      </x:c>
      <x:c r="F34" s="33" t="str">
        <x:v>Unverified</x:v>
      </x:c>
      <x:c r="G34" s="33" t="str">
        <x:v>Observed: stop button during active task [C0]</x:v>
      </x:c>
      <x:c r="H34" s="33" t="str">
        <x:v>Documented: interrupt control [D1]</x:v>
      </x:c>
      <x:c r="I34" s="33" t="str">
        <x:v>Distinguish stopping the model, current tool and queued work.</x:v>
      </x:c>
      <x:c r="J34" s="33" t="str">
        <x:v>P1</x:v>
      </x:c>
      <x:c r="K34" s="33" t="str">
        <x:v>3 Trusted work</x:v>
      </x:c>
      <x:c r="L34" s="33" t="str">
        <x:v>Abort propagation</x:v>
      </x:c>
      <x:c r="M34" s="33" t="str">
        <x:v>Stop state is truthful; cancellation does not claim a completed device command was undone.</x:v>
      </x:c>
      <x:c r="N34" s="33" t="str">
        <x:v>Verified</x:v>
      </x:c>
      <x:c r="O34" s="33" t="str">
        <x:v>Proposed</x:v>
      </x:c>
      <x:c r="P34" s="33" t="str">
        <x:v>2026-09-16: verify-queue-terminal.cjs 4/4; run-durability.json. Isolated tests passed; no live provider/device call. Owner acceptance pending.</x:v>
      </x:c>
    </x:row>
    <x:row r="35" ht="75" customHeight="1">
      <x:c r="A35" s="35" t="str">
        <x:v>UX-030</x:v>
      </x:c>
      <x:c r="B35" s="28" t="str">
        <x:v>Execution</x:v>
      </x:c>
      <x:c r="C35" s="28" t="str">
        <x:v>Queue follow-up messages</x:v>
      </x:c>
      <x:c r="D35" s="28" t="str">
        <x:v>Present</x:v>
      </x:c>
      <x:c r="E35" s="28" t="str">
        <x:v>Visible queue with per-item controls exists.</x:v>
      </x:c>
      <x:c r="F35" s="28" t="str">
        <x:v>Unverified</x:v>
      </x:c>
      <x:c r="G35" s="28" t="str">
        <x:v>Unverified</x:v>
      </x:c>
      <x:c r="H35" s="28" t="str">
        <x:v>Documented: redirect while working [D1]</x:v>
      </x:c>
      <x:c r="I35" s="28" t="str">
        <x:v>Keep queue separate from immediate steering.</x:v>
      </x:c>
      <x:c r="J35" s="28" t="str">
        <x:v>P1</x:v>
      </x:c>
      <x:c r="K35" s="28" t="str">
        <x:v>Keep</x:v>
      </x:c>
      <x:c r="L35" s="28" t="str">
        <x:v>Queue regression</x:v>
      </x:c>
      <x:c r="M35" s="28" t="str">
        <x:v>Queued messages stay ordered and are never submitted twice.</x:v>
      </x:c>
      <x:c r="N35" s="28" t="str">
        <x:v>Verified</x:v>
      </x:c>
      <x:c r="O35" s="28" t="str">
        <x:v>Preserve</x:v>
      </x:c>
      <x:c r="P35" s="28" t="str">
        <x:v>2026-09-16: preservation audit PASS. .intentgraph/evidence/pending-88-20260916/preserved-audit.json (storage failure: 0 calls, queue retained; recovery: 1 call); .intentgraph/runtime/verify-queue-terminal.cjs:49-75 Owner acceptance remains separate.</x:v>
      </x:c>
    </x:row>
    <x:row r="36" ht="62" customHeight="1">
      <x:c r="A36" s="36" t="str">
        <x:v>UX-031</x:v>
      </x:c>
      <x:c r="B36" s="33" t="str">
        <x:v>Execution</x:v>
      </x:c>
      <x:c r="C36" s="33" t="str">
        <x:v>Queue edit, remove and resume</x:v>
      </x:c>
      <x:c r="D36" s="33" t="str">
        <x:v>Present</x:v>
      </x:c>
      <x:c r="E36" s="33" t="str">
        <x:v>Saved queue and resume control exist.</x:v>
      </x:c>
      <x:c r="F36" s="33" t="str">
        <x:v>Unverified</x:v>
      </x:c>
      <x:c r="G36" s="33" t="str">
        <x:v>Unverified</x:v>
      </x:c>
      <x:c r="H36" s="33" t="str">
        <x:v>Unverified</x:v>
      </x:c>
      <x:c r="I36" s="33" t="str">
        <x:v>Keep explicit recovery after interrupted processing.</x:v>
      </x:c>
      <x:c r="J36" s="33" t="str">
        <x:v>P1</x:v>
      </x:c>
      <x:c r="K36" s="33" t="str">
        <x:v>Keep</x:v>
      </x:c>
      <x:c r="L36" s="33" t="str">
        <x:v>Queue persistence</x:v>
      </x:c>
      <x:c r="M36" s="33" t="str">
        <x:v>Reload retains queue; resume is intentional; editing changes only selected item.</x:v>
      </x:c>
      <x:c r="N36" s="33" t="str">
        <x:v>Verified</x:v>
      </x:c>
      <x:c r="O36" s="33" t="str">
        <x:v>Preserve</x:v>
      </x:c>
      <x:c r="P36" s="33" t="str">
        <x:v>2026-09-16: preservation audit PASS. .intentgraph/runtime/verify-queue-terminal.cjs:49-75,120-128 (FIFO/edit/remove/resume/reload pause) Owner acceptance remains separate.</x:v>
      </x:c>
    </x:row>
    <x:row r="37" ht="75" customHeight="1">
      <x:c r="A37" s="35" t="str">
        <x:v>UX-032</x:v>
      </x:c>
      <x:c r="B37" s="28" t="str">
        <x:v>Execution</x:v>
      </x:c>
      <x:c r="C37" s="28" t="str">
        <x:v>Steer the next step</x:v>
      </x:c>
      <x:c r="D37" s="28" t="str">
        <x:v>Present</x:v>
      </x:c>
      <x:c r="E37" s="28" t="str">
        <x:v>Separate Steer next step button.</x:v>
      </x:c>
      <x:c r="F37" s="28" t="str">
        <x:v>Unverified</x:v>
      </x:c>
      <x:c r="G37" s="28" t="str">
        <x:v>Unverified</x:v>
      </x:c>
      <x:c r="H37" s="28" t="str">
        <x:v>Documented: correction after current action [D1]</x:v>
      </x:c>
      <x:c r="I37" s="28" t="str">
        <x:v>Keep acknowledgment and timing visible.</x:v>
      </x:c>
      <x:c r="J37" s="28" t="str">
        <x:v>P1</x:v>
      </x:c>
      <x:c r="K37" s="28" t="str">
        <x:v>Keep</x:v>
      </x:c>
      <x:c r="L37" s="28" t="str">
        <x:v>Runtime steer support</x:v>
      </x:c>
      <x:c r="M37" s="28" t="str">
        <x:v>Correction applies before next tool step and does not silently create a duplicate run.</x:v>
      </x:c>
      <x:c r="N37" s="28" t="str">
        <x:v>Verified</x:v>
      </x:c>
      <x:c r="O37" s="28" t="str">
        <x:v>Preserve</x:v>
      </x:c>
      <x:c r="P37" s="28" t="str">
        <x:v>2026-09-16: preservation audit PASS. 25/25 local fixture tests passed, including `intentgraph/steering.test.cjs:166-191` (next model boundary, applied once); .intentgraph/runtime/verify-queue-terminal.cjs:77-118 Owner acceptance remains separate.</x:v>
      </x:c>
    </x:row>
    <x:row r="38" ht="42" customHeight="1">
      <x:c r="A38" s="36" t="str">
        <x:v>UX-033</x:v>
      </x:c>
      <x:c r="B38" s="33" t="str">
        <x:v>Execution</x:v>
      </x:c>
      <x:c r="C38" s="33" t="str">
        <x:v>Clarification and approval cards</x:v>
      </x:c>
      <x:c r="D38" s="33" t="str">
        <x:v>Partial</x:v>
      </x:c>
      <x:c r="E38" s="33" t="str">
        <x:v>No general rich choice/reply card comparable to reference observed.</x:v>
      </x:c>
      <x:c r="F38" s="33" t="str">
        <x:v>Observed: inline question with choices and dismissed state [G1]</x:v>
      </x:c>
      <x:c r="G38" s="33" t="str">
        <x:v>Unverified</x:v>
      </x:c>
      <x:c r="H38" s="33" t="str">
        <x:v>Documented: permission prompts [D1]</x:v>
      </x:c>
      <x:c r="I38" s="33" t="str">
        <x:v>Use compact choices, free-text answer and explicit waiting state.</x:v>
      </x:c>
      <x:c r="J38" s="33" t="str">
        <x:v>P1</x:v>
      </x:c>
      <x:c r="K38" s="33" t="str">
        <x:v>3 Trusted work</x:v>
      </x:c>
      <x:c r="L38" s="33" t="str">
        <x:v>Structured pending-input events</x:v>
      </x:c>
      <x:c r="M38" s="33" t="str">
        <x:v>Answer maps to one pending question; stale cards cannot authorize later work.</x:v>
      </x:c>
      <x:c r="N38" s="33" t="str">
        <x:v>Not started</x:v>
      </x:c>
      <x:c r="O38" s="33" t="str">
        <x:v>Proposed</x:v>
      </x:c>
      <x:c r="P38" s="33" t="str">
        <x:v>A0; server/runtime source review; polished.js:193-255,380-422; intentgraph/server.cjs:206-285</x:v>
      </x:c>
    </x:row>
    <x:row r="39" ht="49" customHeight="1">
      <x:c r="A39" s="35" t="str">
        <x:v>UX-034</x:v>
      </x:c>
      <x:c r="B39" s="28" t="str">
        <x:v>Execution</x:v>
      </x:c>
      <x:c r="C39" s="28" t="str">
        <x:v>Plan and inspect modes</x:v>
      </x:c>
      <x:c r="D39" s="28" t="str">
        <x:v>Present</x:v>
      </x:c>
      <x:c r="E39" s="28" t="str">
        <x:v>Plan uses zero tools at the backend. Inspect retains the allowlisted read-only runtime. Mode persists and queued requests retain their original mode.</x:v>
      </x:c>
      <x:c r="F39" s="28" t="str">
        <x:v>Unverified</x:v>
      </x:c>
      <x:c r="G39" s="28" t="str">
        <x:v>Documented: plan mode entry [C1]</x:v>
      </x:c>
      <x:c r="H39" s="28" t="str">
        <x:v>Documented: Plan permission mode [D1]</x:v>
      </x:c>
      <x:c r="I39" s="28" t="str">
        <x:v>Separate discussion/inspection from any future device changes.</x:v>
      </x:c>
      <x:c r="J39" s="28" t="str">
        <x:v>P1</x:v>
      </x:c>
      <x:c r="K39" s="28" t="str">
        <x:v>3 Trusted work</x:v>
      </x:c>
      <x:c r="L39" s="28" t="str">
        <x:v>Runtime-enforced mode contract</x:v>
      </x:c>
      <x:c r="M39" s="28" t="str">
        <x:v>Plan mode cannot execute state-changing operations; current read-only scope stays explicit.</x:v>
      </x:c>
      <x:c r="N39" s="28" t="str">
        <x:v>Verified</x:v>
      </x:c>
      <x:c r="O39" s="28" t="str">
        <x:v>Proposed</x:v>
      </x:c>
      <x:c r="P39" s="28" t="str">
        <x:v>2026-09-16: verify-chat-modes.cjs and modes-ui.json passed; malicious tool-call fixture invokes no sandbox. No live provider call.</x:v>
      </x:c>
    </x:row>
    <x:row r="40" ht="62" customHeight="1">
      <x:c r="A40" s="36" t="str">
        <x:v>UX-035</x:v>
      </x:c>
      <x:c r="B40" s="33" t="str">
        <x:v>Execution</x:v>
      </x:c>
      <x:c r="C40" s="33" t="str">
        <x:v>Detailed tool transcript</x:v>
      </x:c>
      <x:c r="D40" s="33" t="str">
        <x:v>Present</x:v>
      </x:c>
      <x:c r="E40" s="33" t="str">
        <x:v>Expandable activity and raw CLI details.</x:v>
      </x:c>
      <x:c r="F40" s="33" t="str">
        <x:v>Unverified</x:v>
      </x:c>
      <x:c r="G40" s="33" t="str">
        <x:v>Observed: collapsible tool activity [C0]</x:v>
      </x:c>
      <x:c r="H40" s="33" t="str">
        <x:v>Documented: normal, verbose and summary views [D1]</x:v>
      </x:c>
      <x:c r="I40" s="33" t="str">
        <x:v>Make summary concise and details inspectable.</x:v>
      </x:c>
      <x:c r="J40" s="33" t="str">
        <x:v>P2</x:v>
      </x:c>
      <x:c r="K40" s="33" t="str">
        <x:v>Keep</x:v>
      </x:c>
      <x:c r="L40" s="33" t="str">
        <x:v>Evidence provenance</x:v>
      </x:c>
      <x:c r="M40" s="33" t="str">
        <x:v>Summary, tool input and actual result remain distinguishable.</x:v>
      </x:c>
      <x:c r="N40" s="33" t="str">
        <x:v>Verified</x:v>
      </x:c>
      <x:c r="O40" s="33" t="str">
        <x:v>Preserve</x:v>
      </x:c>
      <x:c r="P40" s="33" t="str">
        <x:v>2026-09-16: preservation audit PASS. .intentgraph/runtime/verify-queue-terminal.cjs:77-118 (tool input/result/status/raw output distinct); isolated stream UI passed Owner acceptance remains separate.</x:v>
      </x:c>
    </x:row>
    <x:row r="41" ht="49" customHeight="1">
      <x:c r="A41" s="35" t="str">
        <x:v>UX-036</x:v>
      </x:c>
      <x:c r="B41" s="28" t="str">
        <x:v>Execution</x:v>
      </x:c>
      <x:c r="C41" s="28" t="str">
        <x:v>Run state and elapsed time</x:v>
      </x:c>
      <x:c r="D41" s="28" t="str">
        <x:v>Present</x:v>
      </x:c>
      <x:c r="E41" s="28" t="str">
        <x:v>Run metadata retains elapsed time and SUCCESS/FAILURE/UNKNOWN outcome. Interrupted runs show a visible uncertainty notice rather than completed success.</x:v>
      </x:c>
      <x:c r="F41" s="28" t="str">
        <x:v>Observed: time and unread state [G1]</x:v>
      </x:c>
      <x:c r="G41" s="28" t="str">
        <x:v>Observed: running indicators [C0]</x:v>
      </x:c>
      <x:c r="H41" s="28" t="str">
        <x:v>Documented: session activity [D1]</x:v>
      </x:c>
      <x:c r="I41" s="28" t="str">
        <x:v>Use consistent queued/running/waiting/stopped/failed/completed states.</x:v>
      </x:c>
      <x:c r="J41" s="28" t="str">
        <x:v>P1</x:v>
      </x:c>
      <x:c r="K41" s="28" t="str">
        <x:v>3 Trusted work</x:v>
      </x:c>
      <x:c r="L41" s="28" t="str">
        <x:v>Unified run state</x:v>
      </x:c>
      <x:c r="M41" s="28" t="str">
        <x:v>A failed or interrupted run cannot display completed success; elapsed time stops correctly.</x:v>
      </x:c>
      <x:c r="N41" s="28" t="str">
        <x:v>Verified</x:v>
      </x:c>
      <x:c r="O41" s="28" t="str">
        <x:v>Proposed</x:v>
      </x:c>
      <x:c r="P41" s="28" t="str">
        <x:v>2026-09-16: run-recovery.json; run-durability.json. Isolated tests passed; no live provider/device call. Owner acceptance pending.</x:v>
      </x:c>
    </x:row>
    <x:row r="42" ht="49" customHeight="1">
      <x:c r="A42" s="36" t="str">
        <x:v>UX-037</x:v>
      </x:c>
      <x:c r="B42" s="33" t="str">
        <x:v>Execution</x:v>
      </x:c>
      <x:c r="C42" s="33" t="str">
        <x:v>Parallel work visibility</x:v>
      </x:c>
      <x:c r="D42" s="33" t="str">
        <x:v>Missing</x:v>
      </x:c>
      <x:c r="E42" s="33" t="str">
        <x:v>Backend uses one global in-flight request; team members are not parallel work.</x:v>
      </x:c>
      <x:c r="F42" s="33" t="str">
        <x:v>Unverified</x:v>
      </x:c>
      <x:c r="G42" s="33" t="str">
        <x:v>Observed: multiple tasks and child-agent progress [C0]</x:v>
      </x:c>
      <x:c r="H42" s="33" t="str">
        <x:v>Documented: parallel isolated sessions [D1]</x:v>
      </x:c>
      <x:c r="I42" s="33" t="str">
        <x:v>Show current serial limit honestly; add independent work only with backend support.</x:v>
      </x:c>
      <x:c r="J42" s="33" t="str">
        <x:v>P2</x:v>
      </x:c>
      <x:c r="K42" s="33" t="str">
        <x:v>4 Extend</x:v>
      </x:c>
      <x:c r="L42" s="33" t="str">
        <x:v>Scheduler, isolation and per-run IDs</x:v>
      </x:c>
      <x:c r="M42" s="33" t="str">
        <x:v>Two runs remain isolated, individually stoppable and recoverable.</x:v>
      </x:c>
      <x:c r="N42" s="33" t="str">
        <x:v>Not started</x:v>
      </x:c>
      <x:c r="O42" s="33" t="str">
        <x:v>Proposed</x:v>
      </x:c>
      <x:c r="P42" s="33" t="str">
        <x:v>server.cjs chatPending; architecture.json; polished.js:193-255,380-422; intentgraph/server.cjs:206-285</x:v>
      </x:c>
    </x:row>
    <x:row r="43" ht="62" customHeight="1">
      <x:c r="A43" s="35" t="str">
        <x:v>UX-038</x:v>
      </x:c>
      <x:c r="B43" s="28" t="str">
        <x:v>Execution</x:v>
      </x:c>
      <x:c r="C43" s="28" t="str">
        <x:v>Context and usage visibility</x:v>
      </x:c>
      <x:c r="D43" s="28" t="str">
        <x:v>Present</x:v>
      </x:c>
      <x:c r="E43" s="28" t="str">
        <x:v>Run details show actual response model and supported token metadata. Missing usage is Unavailable. Existing context preview reports the bounded message window.</x:v>
      </x:c>
      <x:c r="F43" s="28" t="str">
        <x:v>Unverified</x:v>
      </x:c>
      <x:c r="G43" s="28" t="str">
        <x:v>Unverified</x:v>
      </x:c>
      <x:c r="H43" s="28" t="str">
        <x:v>Documented: context and plan usage [D1]</x:v>
      </x:c>
      <x:c r="I43" s="28" t="str">
        <x:v>Expose real per-run usage and limits when provider supplies them.</x:v>
      </x:c>
      <x:c r="J43" s="28" t="str">
        <x:v>P2</x:v>
      </x:c>
      <x:c r="K43" s="28" t="str">
        <x:v>3 Trusted work</x:v>
      </x:c>
      <x:c r="L43" s="28" t="str">
        <x:v>Usage event contract</x:v>
      </x:c>
      <x:c r="M43" s="28" t="str">
        <x:v>Unknown usage displays unavailable; displayed model and token totals match actual response data.</x:v>
      </x:c>
      <x:c r="N43" s="28" t="str">
        <x:v>Verified</x:v>
      </x:c>
      <x:c r="O43" s="28" t="str">
        <x:v>Proposed</x:v>
      </x:c>
      <x:c r="P43" s="28" t="str">
        <x:v>2026-09-16: run-recovery.json. Isolated tests passed; no live provider/device call. Owner acceptance pending.</x:v>
      </x:c>
    </x:row>
    <x:row r="44" ht="42" customHeight="1">
      <x:c r="A44" s="36" t="str">
        <x:v>UX-039</x:v>
      </x:c>
      <x:c r="B44" s="33" t="str">
        <x:v>Execution</x:v>
      </x:c>
      <x:c r="C44" s="33" t="str">
        <x:v>Retry with retained evidence</x:v>
      </x:c>
      <x:c r="D44" s="33" t="str">
        <x:v>Partial</x:v>
      </x:c>
      <x:c r="E44" s="33" t="str">
        <x:v>Failures are surfaced; contextual retry needs an explicit contract.</x:v>
      </x:c>
      <x:c r="F44" s="33" t="str">
        <x:v>Unverified</x:v>
      </x:c>
      <x:c r="G44" s="33" t="str">
        <x:v>Unverified</x:v>
      </x:c>
      <x:c r="H44" s="33" t="str">
        <x:v>Unverified</x:v>
      </x:c>
      <x:c r="I44" s="33" t="str">
        <x:v>Offer safe retry with original prompt, visible scope and duplicate-action protection.</x:v>
      </x:c>
      <x:c r="J44" s="33" t="str">
        <x:v>P1</x:v>
      </x:c>
      <x:c r="K44" s="33" t="str">
        <x:v>3 Trusted work</x:v>
      </x:c>
      <x:c r="L44" s="33" t="str">
        <x:v>Run IDs and evidence history</x:v>
      </x:c>
      <x:c r="M44" s="33" t="str">
        <x:v>Retry does not repeat completed device actions silently; partial evidence remains inspectable.</x:v>
      </x:c>
      <x:c r="N44" s="33" t="str">
        <x:v>Not started</x:v>
      </x:c>
      <x:c r="O44" s="33" t="str">
        <x:v>Proposed</x:v>
      </x:c>
      <x:c r="P44" s="33" t="str">
        <x:v>polished.js request errors; server.cjs; polished.js:193-255,380-422; intentgraph/server.cjs:206-285</x:v>
      </x:c>
    </x:row>
    <x:row r="45" ht="62" customHeight="1">
      <x:c r="A45" s="35" t="str">
        <x:v>UX-040</x:v>
      </x:c>
      <x:c r="B45" s="28" t="str">
        <x:v>Execution</x:v>
      </x:c>
      <x:c r="C45" s="28" t="str">
        <x:v>Resume after app restart</x:v>
      </x:c>
      <x:c r="D45" s="28" t="str">
        <x:v>Present</x:v>
      </x:c>
      <x:c r="E45" s="28" t="str">
        <x:v>Bounded local run journals persist stream evidence. Restart recovers one incomplete record and pauses queued work without re-execution; save failures retain recovery state.</x:v>
      </x:c>
      <x:c r="F45" s="28" t="str">
        <x:v>Unverified</x:v>
      </x:c>
      <x:c r="G45" s="28" t="str">
        <x:v>Documented: long-running work [C5]</x:v>
      </x:c>
      <x:c r="H45" s="28" t="str">
        <x:v>Documented: resume sessions [D2]</x:v>
      </x:c>
      <x:c r="I45" s="28" t="str">
        <x:v>Recover pending work with truthful stopped/recoverable status.</x:v>
      </x:c>
      <x:c r="J45" s="28" t="str">
        <x:v>P1</x:v>
      </x:c>
      <x:c r="K45" s="28" t="str">
        <x:v>3 Trusted work</x:v>
      </x:c>
      <x:c r="L45" s="28" t="str">
        <x:v>Durable run checkpoints</x:v>
      </x:c>
      <x:c r="M45" s="28" t="str">
        <x:v>Restart during work preserves transcript and exposes recovery without duplicate execution.</x:v>
      </x:c>
      <x:c r="N45" s="28" t="str">
        <x:v>Verified</x:v>
      </x:c>
      <x:c r="O45" s="28" t="str">
        <x:v>Proposed</x:v>
      </x:c>
      <x:c r="P45" s="28" t="str">
        <x:v>2026-09-16: run-recovery.json; run-durability.json. Isolated tests passed; no live provider/device call. Owner acceptance pending.</x:v>
      </x:c>
    </x:row>
    <x:row r="46" ht="49" customHeight="1">
      <x:c r="A46" s="36" t="str">
        <x:v>UX-041</x:v>
      </x:c>
      <x:c r="B46" s="33" t="str">
        <x:v>Messages</x:v>
      </x:c>
      <x:c r="C46" s="33" t="str">
        <x:v>Readable Markdown</x:v>
      </x:c>
      <x:c r="D46" s="33" t="str">
        <x:v>Present</x:v>
      </x:c>
      <x:c r="E46" s="33" t="str">
        <x:v>Common Markdown headings, lists, tables, emphasis, inline and fenced code render safely with preserved source text.</x:v>
      </x:c>
      <x:c r="F46" s="33" t="str">
        <x:v>Observed: formatted paragraphs and fixed-width text [G1]</x:v>
      </x:c>
      <x:c r="G46" s="33" t="str">
        <x:v>Observed: formatted text and lists [C0]</x:v>
      </x:c>
      <x:c r="H46" s="33" t="str">
        <x:v>Documented: formatted transcript [D1]</x:v>
      </x:c>
      <x:c r="I46" s="33" t="str">
        <x:v>Harden lists, tables, code, links and long content.</x:v>
      </x:c>
      <x:c r="J46" s="33" t="str">
        <x:v>P2</x:v>
      </x:c>
      <x:c r="K46" s="33" t="str">
        <x:v>2 Chat</x:v>
      </x:c>
      <x:c r="L46" s="33" t="str">
        <x:v>Renderer fixtures</x:v>
      </x:c>
      <x:c r="M46" s="33" t="str">
        <x:v>Representative network reports remain readable; untrusted HTML cannot execute.</x:v>
      </x:c>
      <x:c r="N46" s="33" t="str">
        <x:v>Verified</x:v>
      </x:c>
      <x:c r="O46" s="33" t="str">
        <x:v>Proposed</x:v>
      </x:c>
      <x:c r="P46" s="33" t="str">
        <x:v>2026-09-15: .intentgraph/evidence/ux-fixes-2026-09-15/edit-rendering.json; browser test exit 0. Mocked requests; owner acceptance pending.</x:v>
      </x:c>
    </x:row>
    <x:row r="47" ht="75" customHeight="1">
      <x:c r="A47" s="35" t="str">
        <x:v>UX-042</x:v>
      </x:c>
      <x:c r="B47" s="28" t="str">
        <x:v>Messages</x:v>
      </x:c>
      <x:c r="C47" s="28" t="str">
        <x:v>Code blocks and exact copy</x:v>
      </x:c>
      <x:c r="D47" s="28" t="str">
        <x:v>Present</x:v>
      </x:c>
      <x:c r="E47" s="28" t="str">
        <x:v>Raw CLI appears once with exact-copy controls.</x:v>
      </x:c>
      <x:c r="F47" s="28" t="str">
        <x:v>Observed: fixed-width report observed [G1]</x:v>
      </x:c>
      <x:c r="G47" s="28" t="str">
        <x:v>Unverified</x:v>
      </x:c>
      <x:c r="H47" s="28" t="str">
        <x:v>Documented: terminal and transcript [D1]</x:v>
      </x:c>
      <x:c r="I47" s="28" t="str">
        <x:v>Preserve byte-faithful CLI evidence and separate formatted interpretation.</x:v>
      </x:c>
      <x:c r="J47" s="28" t="str">
        <x:v>P1</x:v>
      </x:c>
      <x:c r="K47" s="28" t="str">
        <x:v>Keep</x:v>
      </x:c>
      <x:c r="L47" s="28" t="str">
        <x:v>CLI regression</x:v>
      </x:c>
      <x:c r="M47" s="28" t="str">
        <x:v>Spaces, tabs and line breaks survive copy; no duplicate raw output.</x:v>
      </x:c>
      <x:c r="N47" s="28" t="str">
        <x:v>Verified</x:v>
      </x:c>
      <x:c r="O47" s="28" t="str">
        <x:v>Preserve</x:v>
      </x:c>
      <x:c r="P47" s="28" t="str">
        <x:v>2026-09-16: preservation audit PASS. .intentgraph/runtime/verify-queue-terminal.cjs:77-118 (exact raw whitespace/copy); .intentgraph/evidence/ux-fixes-2026-09-15/root-review.json Owner acceptance remains separate.</x:v>
      </x:c>
    </x:row>
    <x:row r="48" ht="75" customHeight="1">
      <x:c r="A48" s="36" t="str">
        <x:v>UX-043</x:v>
      </x:c>
      <x:c r="B48" s="33" t="str">
        <x:v>Messages</x:v>
      </x:c>
      <x:c r="C48" s="33" t="str">
        <x:v>Copy messages</x:v>
      </x:c>
      <x:c r="D48" s="33" t="str">
        <x:v>Present</x:v>
      </x:c>
      <x:c r="E48" s="33" t="str">
        <x:v>Copy question/answer and menu action exposed.</x:v>
      </x:c>
      <x:c r="F48" s="33" t="str">
        <x:v>Observed: Copy action [G1]</x:v>
      </x:c>
      <x:c r="G48" s="33" t="str">
        <x:v>Unverified</x:v>
      </x:c>
      <x:c r="H48" s="33" t="str">
        <x:v>Unverified</x:v>
      </x:c>
      <x:c r="I48" s="33" t="str">
        <x:v>Preserve accessible feedback and reliable text extraction.</x:v>
      </x:c>
      <x:c r="J48" s="33" t="str">
        <x:v>P2</x:v>
      </x:c>
      <x:c r="K48" s="33" t="str">
        <x:v>Keep</x:v>
      </x:c>
      <x:c r="L48" s="33" t="str">
        <x:v>Clipboard regression</x:v>
      </x:c>
      <x:c r="M48" s="33" t="str">
        <x:v>Copy uses correct message and reports failure without claiming success.</x:v>
      </x:c>
      <x:c r="N48" s="33" t="str">
        <x:v>Verified</x:v>
      </x:c>
      <x:c r="O48" s="33" t="str">
        <x:v>Preserve</x:v>
      </x:c>
      <x:c r="P48" s="33" t="str">
        <x:v>2026-09-16: preservation audit PASS. .intentgraph/evidence/pending-88-20260916/preserved-audit.json (clipboard denial reports failure); .intentgraph/evidence/message-tools.json (answer/question copy) Owner acceptance remains separate.</x:v>
      </x:c>
    </x:row>
    <x:row r="49" ht="62" customHeight="1">
      <x:c r="A49" s="35" t="str">
        <x:v>UX-044</x:v>
      </x:c>
      <x:c r="B49" s="28" t="str">
        <x:v>Messages</x:v>
      </x:c>
      <x:c r="C49" s="28" t="str">
        <x:v>Time grouping and metadata</x:v>
      </x:c>
      <x:c r="D49" s="28" t="str">
        <x:v>Present</x:v>
      </x:c>
      <x:c r="E49" s="28" t="str">
        <x:v>Local date separators and focusable timestamps with full accessible date/time. Invalid timestamps do not invent dates.</x:v>
      </x:c>
      <x:c r="F49" s="28" t="str">
        <x:v>Observed: date separators and exact time [G1]</x:v>
      </x:c>
      <x:c r="G49" s="28" t="str">
        <x:v>Unverified</x:v>
      </x:c>
      <x:c r="H49" s="28" t="str">
        <x:v>Unverified</x:v>
      </x:c>
      <x:c r="I49" s="28" t="str">
        <x:v>Keep secondary time metadata and group dates without clutter.</x:v>
      </x:c>
      <x:c r="J49" s="28" t="str">
        <x:v>P3</x:v>
      </x:c>
      <x:c r="K49" s="28" t="str">
        <x:v>2 Chat</x:v>
      </x:c>
      <x:c r="L49" s="28" t="str">
        <x:v>Date/time formatting</x:v>
      </x:c>
      <x:c r="M49" s="28" t="str">
        <x:v>Old and new days are clear; full timestamp accessible on focus or hover.</x:v>
      </x:c>
      <x:c r="N49" s="28" t="str">
        <x:v>Verified</x:v>
      </x:c>
      <x:c r="O49" s="28" t="str">
        <x:v>Proposed</x:v>
      </x:c>
      <x:c r="P49" s="28" t="str">
        <x:v>2026-09-15: .intentgraph/evidence/ux-fixes-2026-09-15/history-navigation.json; verify-history-navigation.cjs exit 0. Isolated mocked chat; owner acceptance pending.</x:v>
      </x:c>
    </x:row>
    <x:row r="50" ht="62" customHeight="1">
      <x:c r="A50" s="36" t="str">
        <x:v>UX-045</x:v>
      </x:c>
      <x:c r="B50" s="33" t="str">
        <x:v>Messages</x:v>
      </x:c>
      <x:c r="C50" s="33" t="str">
        <x:v>Follow latest without jumping</x:v>
      </x:c>
      <x:c r="D50" s="33" t="str">
        <x:v>Present</x:v>
      </x:c>
      <x:c r="E50" s="33" t="str">
        <x:v>Output preserves older reading position; explicit keyboard Jump to latest and near-bottom following use a 120px threshold.</x:v>
      </x:c>
      <x:c r="F50" s="33" t="str">
        <x:v>Unverified</x:v>
      </x:c>
      <x:c r="G50" s="33" t="str">
        <x:v>Unverified</x:v>
      </x:c>
      <x:c r="H50" s="33" t="str">
        <x:v>Unverified</x:v>
      </x:c>
      <x:c r="I50" s="33" t="str">
        <x:v>Autofollow only near bottom; offer jump-to-latest when reading older work.</x:v>
      </x:c>
      <x:c r="J50" s="33" t="str">
        <x:v>P1</x:v>
      </x:c>
      <x:c r="K50" s="33" t="str">
        <x:v>2 Chat</x:v>
      </x:c>
      <x:c r="L50" s="33" t="str">
        <x:v>Scroll state test</x:v>
      </x:c>
      <x:c r="M50" s="33" t="str">
        <x:v>New output does not pull user away from an older message; latest button is keyboard usable.</x:v>
      </x:c>
      <x:c r="N50" s="33" t="str">
        <x:v>Verified</x:v>
      </x:c>
      <x:c r="O50" s="33" t="str">
        <x:v>Investigate</x:v>
      </x:c>
      <x:c r="P50" s="33" t="str">
        <x:v>2026-09-15: .intentgraph/evidence/ux-fixes-2026-09-15/history-navigation.json; verify-history-navigation.cjs exit 0. Isolated mocked chat; owner acceptance pending.</x:v>
      </x:c>
    </x:row>
    <x:row r="51" ht="88" customHeight="1">
      <x:c r="A51" s="35" t="str">
        <x:v>UX-046</x:v>
      </x:c>
      <x:c r="B51" s="28" t="str">
        <x:v>Messages</x:v>
      </x:c>
      <x:c r="C51" s="28" t="str">
        <x:v>Conversation revert and undo</x:v>
      </x:c>
      <x:c r="D51" s="28" t="str">
        <x:v>Present</x:v>
      </x:c>
      <x:c r="E51" s="28" t="str">
        <x:v>Context-only revert stores removed history and undo.</x:v>
      </x:c>
      <x:c r="F51" s="28" t="str">
        <x:v>Unverified</x:v>
      </x:c>
      <x:c r="G51" s="28" t="str">
        <x:v>Unverified</x:v>
      </x:c>
      <x:c r="H51" s="28" t="str">
        <x:v>Documented: rewind/checkpoints [D2]</x:v>
      </x:c>
      <x:c r="I51" s="28" t="str">
        <x:v>Preserve explicit boundary: chat context changes do not undo device commands.</x:v>
      </x:c>
      <x:c r="J51" s="28" t="str">
        <x:v>P1</x:v>
      </x:c>
      <x:c r="K51" s="28" t="str">
        <x:v>Keep</x:v>
      </x:c>
      <x:c r="L51" s="28" t="str">
        <x:v>History mutation regression</x:v>
      </x:c>
      <x:c r="M51" s="28" t="str">
        <x:v>Revert and undo restore exact message history; busy or queued state is protected.</x:v>
      </x:c>
      <x:c r="N51" s="28" t="str">
        <x:v>Verified</x:v>
      </x:c>
      <x:c r="O51" s="28" t="str">
        <x:v>Preserve</x:v>
      </x:c>
      <x:c r="P51" s="28" t="str">
        <x:v>2026-09-16: preservation audit PASS. .intentgraph/evidence/ux-fixes-2026-09-15/history-regression.json (revert no execution, undo after reload); .intentgraph/runtime/verify-edit-rendering.cjs:1-16 (queued edit disabled) Owner acceptance remains separate.</x:v>
      </x:c>
    </x:row>
    <x:row r="52" ht="62" customHeight="1">
      <x:c r="A52" s="36" t="str">
        <x:v>UX-047</x:v>
      </x:c>
      <x:c r="B52" s="33" t="str">
        <x:v>Messages</x:v>
      </x:c>
      <x:c r="C52" s="33" t="str">
        <x:v>Fork or side conversation</x:v>
      </x:c>
      <x:c r="D52" s="33" t="str">
        <x:v>Present</x:v>
      </x:c>
      <x:c r="E52" s="33" t="str">
        <x:v>Named local forks retain the selected message prefix and raw provenance. Parent history/draft/queue unchanged; origin link survives reload and storage failures roll back.</x:v>
      </x:c>
      <x:c r="F52" s="33" t="str">
        <x:v>Unverified</x:v>
      </x:c>
      <x:c r="G52" s="33" t="str">
        <x:v>Documented: side chat [C4]</x:v>
      </x:c>
      <x:c r="H52" s="33" t="str">
        <x:v>Documented: side chat [D1]</x:v>
      </x:c>
      <x:c r="I52" s="33" t="str">
        <x:v>Add context-preserving exploration without replacing the main investigation.</x:v>
      </x:c>
      <x:c r="J52" s="33" t="str">
        <x:v>P2</x:v>
      </x:c>
      <x:c r="K52" s="33" t="str">
        <x:v>3 Trusted work</x:v>
      </x:c>
      <x:c r="L52" s="33" t="str">
        <x:v>Durable conversation IDs</x:v>
      </x:c>
      <x:c r="M52" s="33" t="str">
        <x:v>Branch retains provenance and can be revisited without mutating parent history.</x:v>
      </x:c>
      <x:c r="N52" s="33" t="str">
        <x:v>Verified</x:v>
      </x:c>
      <x:c r="O52" s="33" t="str">
        <x:v>Proposed</x:v>
      </x:c>
      <x:c r="P52" s="33" t="str">
        <x:v>2026-09-15: .intentgraph/evidence/ux-fixes-2026-09-15/history-navigation.json; verify-history-navigation.cjs exit 0. Isolated mocked chat; owner acceptance pending.</x:v>
      </x:c>
    </x:row>
    <x:row r="53" ht="62" customHeight="1">
      <x:c r="A53" s="35" t="str">
        <x:v>UX-048</x:v>
      </x:c>
      <x:c r="B53" s="28" t="str">
        <x:v>Messages</x:v>
      </x:c>
      <x:c r="C53" s="28" t="str">
        <x:v>Direct links to evidence/messages</x:v>
      </x:c>
      <x:c r="D53" s="28" t="str">
        <x:v>Present</x:v>
      </x:c>
      <x:c r="E53" s="28" t="str">
        <x:v>Copy a local message link and open its exact saved chat/message. Missing and archived destinations give explanations. Links are scoped to this browser workspace.</x:v>
      </x:c>
      <x:c r="F53" s="28" t="str">
        <x:v>Unverified</x:v>
      </x:c>
      <x:c r="G53" s="28" t="str">
        <x:v>Documented: chat deep links [C4]</x:v>
      </x:c>
      <x:c r="H53" s="28" t="str">
        <x:v>Unverified</x:v>
      </x:c>
      <x:c r="I53" s="28" t="str">
        <x:v>Add stable links for local navigation and exported evidence.</x:v>
      </x:c>
      <x:c r="J53" s="28" t="str">
        <x:v>P2</x:v>
      </x:c>
      <x:c r="K53" s="28" t="str">
        <x:v>3 Trusted work</x:v>
      </x:c>
      <x:c r="L53" s="28" t="str">
        <x:v>Persistence and permissions</x:v>
      </x:c>
      <x:c r="M53" s="28" t="str">
        <x:v>Link opens correct conversation/message; missing or archived targets have a clear explanation.</x:v>
      </x:c>
      <x:c r="N53" s="28" t="str">
        <x:v>Verified</x:v>
      </x:c>
      <x:c r="O53" s="28" t="str">
        <x:v>Proposed</x:v>
      </x:c>
      <x:c r="P53" s="28" t="str">
        <x:v>2026-09-16: run-recovery.json. Isolated tests passed; no live provider/device call. Owner acceptance pending.</x:v>
      </x:c>
    </x:row>
    <x:row r="54" ht="75" customHeight="1">
      <x:c r="A54" s="36" t="str">
        <x:v>UX-049</x:v>
      </x:c>
      <x:c r="B54" s="33" t="str">
        <x:v>Messages</x:v>
      </x:c>
      <x:c r="C54" s="33" t="str">
        <x:v>Reaction picker beyond defaults</x:v>
      </x:c>
      <x:c r="D54" s="33" t="str">
        <x:v>Present</x:v>
      </x:c>
      <x:c r="E54" s="33" t="str">
        <x:v>More opens ten additional reactions. Selection, replacement, clearing and reload use the same single local reaction rule.</x:v>
      </x:c>
      <x:c r="F54" s="33" t="str">
        <x:v>Observed: More emoji control [G1]</x:v>
      </x:c>
      <x:c r="G54" s="33" t="str">
        <x:v>Unverified</x:v>
      </x:c>
      <x:c r="H54" s="33" t="str">
        <x:v>Unverified</x:v>
      </x:c>
      <x:c r="I54" s="33" t="str">
        <x:v>Add a compact accessible picker only after single-reaction behavior is correct.</x:v>
      </x:c>
      <x:c r="J54" s="33" t="str">
        <x:v>P3</x:v>
      </x:c>
      <x:c r="K54" s="33" t="str">
        <x:v>2 Chat</x:v>
      </x:c>
      <x:c r="L54" s="33" t="str">
        <x:v>UX-005 and UX-006</x:v>
      </x:c>
      <x:c r="M54" s="33" t="str">
        <x:v>Picker supports search/navigation and closes without moving the message.</x:v>
      </x:c>
      <x:c r="N54" s="33" t="str">
        <x:v>Verified</x:v>
      </x:c>
      <x:c r="O54" s="33" t="str">
        <x:v>Proposed</x:v>
      </x:c>
      <x:c r="P54" s="33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55" ht="75" customHeight="1">
      <x:c r="A55" s="35" t="str">
        <x:v>UX-050</x:v>
      </x:c>
      <x:c r="B55" s="28" t="str">
        <x:v>History</x:v>
      </x:c>
      <x:c r="C55" s="28" t="str">
        <x:v>Archive and restore</x:v>
      </x:c>
      <x:c r="D55" s="28" t="str">
        <x:v>Present</x:v>
      </x:c>
      <x:c r="E55" s="28" t="str">
        <x:v>Settings contains Archived chats; empty state observed.</x:v>
      </x:c>
      <x:c r="F55" s="28" t="str">
        <x:v>Unverified</x:v>
      </x:c>
      <x:c r="G55" s="28" t="str">
        <x:v>Documented: archive and restore in Settings [C2]</x:v>
      </x:c>
      <x:c r="H55" s="28" t="str">
        <x:v>Documented: archive sessions [D1]</x:v>
      </x:c>
      <x:c r="I55" s="28" t="str">
        <x:v>Keep recoverable archive separate from deletion.</x:v>
      </x:c>
      <x:c r="J55" s="28" t="str">
        <x:v>P1</x:v>
      </x:c>
      <x:c r="K55" s="28" t="str">
        <x:v>Keep</x:v>
      </x:c>
      <x:c r="L55" s="28" t="str">
        <x:v>Archive regression</x:v>
      </x:c>
      <x:c r="M55" s="28" t="str">
        <x:v>Archived chat is read-only until restored; messages and evidence survive.</x:v>
      </x:c>
      <x:c r="N55" s="28" t="str">
        <x:v>Verified</x:v>
      </x:c>
      <x:c r="O55" s="28" t="str">
        <x:v>Preserve</x:v>
      </x:c>
      <x:c r="P55" s="28" t="str">
        <x:v>2026-09-16: preservation audit PASS. .intentgraph/evidence/project-navigation.json (archive/restore/reload and busy guard); .intentgraph/evidence/ux-fixes-2026-09-15/history-navigation.json (archived read-only) Owner acceptance remains separate.</x:v>
      </x:c>
    </x:row>
    <x:row r="56" ht="75" customHeight="1">
      <x:c r="A56" s="36" t="str">
        <x:v>UX-051</x:v>
      </x:c>
      <x:c r="B56" s="33" t="str">
        <x:v>History</x:v>
      </x:c>
      <x:c r="C56" s="33" t="str">
        <x:v>Export conversations and evidence</x:v>
      </x:c>
      <x:c r="D56" s="33" t="str">
        <x:v>Present</x:v>
      </x:c>
      <x:c r="E56" s="33" t="str">
        <x:v>Workspace JSON and selected conversation Markdown exports include timestamps, drafts, notes and exact raw evidence. Backend credentials and attachment contents are not read.</x:v>
      </x:c>
      <x:c r="F56" s="33" t="str">
        <x:v>Unverified</x:v>
      </x:c>
      <x:c r="G56" s="33" t="str">
        <x:v>Unverified</x:v>
      </x:c>
      <x:c r="H56" s="33" t="str">
        <x:v>Documented: transcript export [D2]</x:v>
      </x:c>
      <x:c r="I56" s="33" t="str">
        <x:v>Provide human-readable report plus structured evidence export.</x:v>
      </x:c>
      <x:c r="J56" s="33" t="str">
        <x:v>P2</x:v>
      </x:c>
      <x:c r="K56" s="33" t="str">
        <x:v>3 Trusted work</x:v>
      </x:c>
      <x:c r="L56" s="33" t="str">
        <x:v>Redaction and provenance</x:v>
      </x:c>
      <x:c r="M56" s="33" t="str">
        <x:v>Export contains correct selected scope, timestamps and exact evidence without credentials.</x:v>
      </x:c>
      <x:c r="N56" s="33" t="str">
        <x:v>Verified</x:v>
      </x:c>
      <x:c r="O56" s="33" t="str">
        <x:v>Proposed</x:v>
      </x:c>
      <x:c r="P56" s="33" t="str">
        <x:v>2026-09-15: local-data-ui.json; browser test exit 0. verify-backup-schema.cjs 9/9 passed, including private-field rejection, exact evidence, UTF-8 size boundary and interrupted-import recovery. Owner acceptance pending.</x:v>
      </x:c>
    </x:row>
    <x:row r="57" ht="75" customHeight="1">
      <x:c r="A57" s="35" t="str">
        <x:v>UX-052</x:v>
      </x:c>
      <x:c r="B57" s="28" t="str">
        <x:v>History</x:v>
      </x:c>
      <x:c r="C57" s="28" t="str">
        <x:v>Import and backup recovery</x:v>
      </x:c>
      <x:c r="D57" s="28" t="str">
        <x:v>Present</x:v>
      </x:c>
      <x:c r="E57" s="28" t="str">
        <x:v>Validated import preview. Add mode remaps collisions and preserves existing work; explicit Replace keeps a recovery backup. Imported queues pause. Write failures and interrupted imports recover before startup migration.</x:v>
      </x:c>
      <x:c r="F57" s="28" t="str">
        <x:v>Unverified</x:v>
      </x:c>
      <x:c r="G57" s="28" t="str">
        <x:v>Unverified</x:v>
      </x:c>
      <x:c r="H57" s="28" t="str">
        <x:v>Unverified</x:v>
      </x:c>
      <x:c r="I57" s="28" t="str">
        <x:v>Add validated restore preview with conflict handling.</x:v>
      </x:c>
      <x:c r="J57" s="28" t="str">
        <x:v>P1</x:v>
      </x:c>
      <x:c r="K57" s="28" t="str">
        <x:v>3 Trusted work</x:v>
      </x:c>
      <x:c r="L57" s="28" t="str">
        <x:v>Versioned storage schema</x:v>
      </x:c>
      <x:c r="M57" s="28" t="str">
        <x:v>Invalid backup changes nothing. Valid restore preserves unrelated current work.</x:v>
      </x:c>
      <x:c r="N57" s="28" t="str">
        <x:v>Verified</x:v>
      </x:c>
      <x:c r="O57" s="28" t="str">
        <x:v>Proposed</x:v>
      </x:c>
      <x:c r="P57" s="28" t="str">
        <x:v>2026-09-15: local-data-ui.json; browser test exit 0. verify-backup-schema.cjs 9/9 passed, including private-field rejection, exact evidence, UTF-8 size boundary and interrupted-import recovery. Owner acceptance pending.</x:v>
      </x:c>
    </x:row>
    <x:row r="58" ht="62" customHeight="1">
      <x:c r="A58" s="36" t="str">
        <x:v>UX-053</x:v>
      </x:c>
      <x:c r="B58" s="33" t="str">
        <x:v>History</x:v>
      </x:c>
      <x:c r="C58" s="33" t="str">
        <x:v>Durable cross-device histories</x:v>
      </x:c>
      <x:c r="D58" s="33" t="str">
        <x:v>Missing</x:v>
      </x:c>
      <x:c r="E58" s="33" t="str">
        <x:v>Browser storage is local; no account sync or tenant history service.</x:v>
      </x:c>
      <x:c r="F58" s="33" t="str">
        <x:v>Unverified</x:v>
      </x:c>
      <x:c r="G58" s="33" t="str">
        <x:v>Unverified</x:v>
      </x:c>
      <x:c r="H58" s="33" t="str">
        <x:v>Documented: local/cloud sessions, different scope [D1]</x:v>
      </x:c>
      <x:c r="I58" s="33" t="str">
        <x:v>Defer sync until identity and ownership contracts exist.</x:v>
      </x:c>
      <x:c r="J58" s="33" t="str">
        <x:v>P2</x:v>
      </x:c>
      <x:c r="K58" s="33" t="str">
        <x:v>4 Extend</x:v>
      </x:c>
      <x:c r="L58" s="33" t="str">
        <x:v>2026-09-16 user decision: keep cross-device history, accounts/customer isolation and remote handoff pending; finish local features first.</x:v>
      </x:c>
      <x:c r="M58" s="33" t="str">
        <x:v>Two devices show consistent authorized history with explicit conflict handling.</x:v>
      </x:c>
      <x:c r="N58" s="33" t="str">
        <x:v>Deferred</x:v>
      </x:c>
      <x:c r="O58" s="33" t="str">
        <x:v>Proposed</x:v>
      </x:c>
      <x:c r="P58" s="33" t="str">
        <x:v>architecture.json; polished.js persistence; polished.js:19-58,158-174,460,481</x:v>
      </x:c>
    </x:row>
    <x:row r="59" ht="75" customHeight="1">
      <x:c r="A59" s="35" t="str">
        <x:v>UX-054</x:v>
      </x:c>
      <x:c r="B59" s="28" t="str">
        <x:v>Coworkers</x:v>
      </x:c>
      <x:c r="C59" s="28" t="str">
        <x:v>Avatar family and appearance</x:v>
      </x:c>
      <x:c r="D59" s="28" t="str">
        <x:v>Present</x:v>
      </x:c>
      <x:c r="E59" s="28" t="str">
        <x:v>Expanded avatar family and appearance chooser.</x:v>
      </x:c>
      <x:c r="F59" s="28" t="str">
        <x:v>Observed: distinct bot avatars [G1]</x:v>
      </x:c>
      <x:c r="G59" s="28" t="str">
        <x:v>Unverified</x:v>
      </x:c>
      <x:c r="H59" s="28" t="str">
        <x:v>Unverified</x:v>
      </x:c>
      <x:c r="I59" s="28" t="str">
        <x:v>Keep approved artwork and persistent selection.</x:v>
      </x:c>
      <x:c r="J59" s="28" t="str">
        <x:v>P2</x:v>
      </x:c>
      <x:c r="K59" s="28" t="str">
        <x:v>Keep</x:v>
      </x:c>
      <x:c r="L59" s="28" t="str">
        <x:v>Avatar regression</x:v>
      </x:c>
      <x:c r="M59" s="28" t="str">
        <x:v>Saved avatars remain the same after migration and reload.</x:v>
      </x:c>
      <x:c r="N59" s="28" t="str">
        <x:v>Verified</x:v>
      </x:c>
      <x:c r="O59" s="28" t="str">
        <x:v>Preserve</x:v>
      </x:c>
      <x:c r="P59" s="28" t="str">
        <x:v>2026-09-16: preservation audit PASS. .intentgraph/avatar-family-app-qa-results.json (all avatar choices/custom color/photo/migration/reload; no external requests); .intentgraph/runtime/verify-backup-schema.cjs:4,15-28 Owner acceptance remains separate.</x:v>
      </x:c>
    </x:row>
    <x:row r="60" ht="75" customHeight="1">
      <x:c r="A60" s="36" t="str">
        <x:v>UX-055</x:v>
      </x:c>
      <x:c r="B60" s="33" t="str">
        <x:v>Coworkers</x:v>
      </x:c>
      <x:c r="C60" s="33" t="str">
        <x:v>Name, label and description</x:v>
      </x:c>
      <x:c r="D60" s="33" t="str">
        <x:v>Present</x:v>
      </x:c>
      <x:c r="E60" s="33" t="str">
        <x:v>Editable profile fields exist.</x:v>
      </x:c>
      <x:c r="F60" s="33" t="str">
        <x:v>Observed: name, label and description [G1]</x:v>
      </x:c>
      <x:c r="G60" s="33" t="str">
        <x:v>Unverified</x:v>
      </x:c>
      <x:c r="H60" s="33" t="str">
        <x:v>Unverified</x:v>
      </x:c>
      <x:c r="I60" s="33" t="str">
        <x:v>Keep plain editing and save feedback.</x:v>
      </x:c>
      <x:c r="J60" s="33" t="str">
        <x:v>P2</x:v>
      </x:c>
      <x:c r="K60" s="33" t="str">
        <x:v>Keep</x:v>
      </x:c>
      <x:c r="L60" s="33" t="str">
        <x:v>UX-004</x:v>
      </x:c>
      <x:c r="M60" s="33" t="str">
        <x:v>Long name remains readable; saved changes update selected coworker only.</x:v>
      </x:c>
      <x:c r="N60" s="33" t="str">
        <x:v>Verified</x:v>
      </x:c>
      <x:c r="O60" s="33" t="str">
        <x:v>Preserve</x:v>
      </x:c>
      <x:c r="P60" s="33" t="str">
        <x:v>2026-09-16: preservation audit PASS. .intentgraph/evidence/ux-fixes-2026-09-15/root-identity-review.json (profile identity/rename sync); .intentgraph/avatar-family-app-qa-results.json (long-name responsive fixture) Owner acceptance remains separate.</x:v>
      </x:c>
    </x:row>
    <x:row r="61" ht="62" customHeight="1">
      <x:c r="A61" s="35" t="str">
        <x:v>UX-056</x:v>
      </x:c>
      <x:c r="B61" s="28" t="str">
        <x:v>Coworkers</x:v>
      </x:c>
      <x:c r="C61" s="28" t="str">
        <x:v>Behavior and document access</x:v>
      </x:c>
      <x:c r="D61" s="28" t="str">
        <x:v>Partial</x:v>
      </x:c>
      <x:c r="E61" s="28" t="str">
        <x:v>SOUL/MEMORY local documents state their scope; save failure rolls back stored text and retains edits. Model-connected behavior/memory instructions remain pending.</x:v>
      </x:c>
      <x:c r="F61" s="28" t="str">
        <x:v>Unverified</x:v>
      </x:c>
      <x:c r="G61" s="28" t="str">
        <x:v>Documented: agent instructions and skills [C6]</x:v>
      </x:c>
      <x:c r="H61" s="28" t="str">
        <x:v>Documented: shared configuration [D1]</x:v>
      </x:c>
      <x:c r="I61" s="28" t="str">
        <x:v>Make behavior instructions and memory distinguishable and inspectable.</x:v>
      </x:c>
      <x:c r="J61" s="28" t="str">
        <x:v>P1</x:v>
      </x:c>
      <x:c r="K61" s="28" t="str">
        <x:v>3 Trusted work</x:v>
      </x:c>
      <x:c r="L61" s="28" t="str">
        <x:v>Explicit behavior/memory runtime injection</x:v>
      </x:c>
      <x:c r="M61" s="28" t="str">
        <x:v>Editing document explains effect and scope; saved content is the content actually used.</x:v>
      </x:c>
      <x:c r="N61" s="28" t="str">
        <x:v>Implemented</x:v>
      </x:c>
      <x:c r="O61" s="28" t="str">
        <x:v>Proposed</x:v>
      </x:c>
      <x:c r="P61" s="28" t="str">
        <x:v>2026-09-16: pane-controls.json. Remaining scope is explicit; not marked complete.</x:v>
      </x:c>
    </x:row>
    <x:row r="62" ht="49" customHeight="1">
      <x:c r="A62" s="36" t="str">
        <x:v>UX-057</x:v>
      </x:c>
      <x:c r="B62" s="33" t="str">
        <x:v>Coworkers</x:v>
      </x:c>
      <x:c r="C62" s="33" t="str">
        <x:v>Notification preference</x:v>
      </x:c>
      <x:c r="D62" s="33" t="str">
        <x:v>Partial</x:v>
      </x:c>
      <x:c r="E62" s="33" t="str">
        <x:v>Muted coworkers suppress local completion notices. Enabled notices open the finished message. Waiting/error attention alerts remain pending.</x:v>
      </x:c>
      <x:c r="F62" s="33" t="str">
        <x:v>Observed: completion/input notification switch [G1]</x:v>
      </x:c>
      <x:c r="G62" s="33" t="str">
        <x:v>Documented: notifications [C1]</x:v>
      </x:c>
      <x:c r="H62" s="33" t="str">
        <x:v>Unverified</x:v>
      </x:c>
      <x:c r="I62" s="33" t="str">
        <x:v>Connect preference to real delivery or mark it unavailable.</x:v>
      </x:c>
      <x:c r="J62" s="33" t="str">
        <x:v>P1</x:v>
      </x:c>
      <x:c r="K62" s="33" t="str">
        <x:v>3 Trusted work</x:v>
      </x:c>
      <x:c r="L62" s="33" t="str">
        <x:v>Notification event channel</x:v>
      </x:c>
      <x:c r="M62" s="33" t="str">
        <x:v>Muted coworker stays quiet; enabled alerts link to the correct finished/waiting run.</x:v>
      </x:c>
      <x:c r="N62" s="33" t="str">
        <x:v>Implemented</x:v>
      </x:c>
      <x:c r="O62" s="33" t="str">
        <x:v>Proposed</x:v>
      </x:c>
      <x:c r="P62" s="33" t="str">
        <x:v>2026-09-16: alerts.json. Implemented slice verified; full feature remains pending.</x:v>
      </x:c>
    </x:row>
    <x:row r="63" ht="49" customHeight="1">
      <x:c r="A63" s="35" t="str">
        <x:v>UX-058</x:v>
      </x:c>
      <x:c r="B63" s="28" t="str">
        <x:v>Coworkers</x:v>
      </x:c>
      <x:c r="C63" s="28" t="str">
        <x:v>Simple creation and first welcome</x:v>
      </x:c>
      <x:c r="D63" s="28" t="str">
        <x:v>Present</x:v>
      </x:c>
      <x:c r="E63" s="28" t="str">
        <x:v>Coworker creation adds a visibly local welcome. Welcome is excluded from outgoing model history.</x:v>
      </x:c>
      <x:c r="F63" s="28" t="str">
        <x:v>Observed: New Bot entry [G1]</x:v>
      </x:c>
      <x:c r="G63" s="28" t="str">
        <x:v>Observed: New chat [C0]</x:v>
      </x:c>
      <x:c r="H63" s="28" t="str">
        <x:v>Documented: New session [D1]</x:v>
      </x:c>
      <x:c r="I63" s="28" t="str">
        <x:v>Use name, purpose and appearance with a clear first action.</x:v>
      </x:c>
      <x:c r="J63" s="28" t="str">
        <x:v>P1</x:v>
      </x:c>
      <x:c r="K63" s="28" t="str">
        <x:v>2 Chat</x:v>
      </x:c>
      <x:c r="L63" s="28" t="str">
        <x:v>UX-007</x:v>
      </x:c>
      <x:c r="M63" s="28" t="str">
        <x:v>Welcome is visibly local and never sent as fabricated model history.</x:v>
      </x:c>
      <x:c r="N63" s="28" t="str">
        <x:v>Verified</x:v>
      </x:c>
      <x:c r="O63" s="28" t="str">
        <x:v>Proposed</x:v>
      </x:c>
      <x:c r="P63" s="28" t="str">
        <x:v>2026-09-16: accessibility-results.json UX058. Local isolated checks passed; owner acceptance separate.</x:v>
      </x:c>
    </x:row>
    <x:row r="64" ht="75" customHeight="1">
      <x:c r="A64" s="36" t="str">
        <x:v>UX-059</x:v>
      </x:c>
      <x:c r="B64" s="33" t="str">
        <x:v>Settings</x:v>
      </x:c>
      <x:c r="C64" s="33" t="str">
        <x:v>Appearance and density</x:v>
      </x:c>
      <x:c r="D64" s="33" t="str">
        <x:v>Present</x:v>
      </x:c>
      <x:c r="E64" s="33" t="str">
        <x:v>Comfortable and Compact density styles with light/dark themes. Save, cancel, reload and storage-failure behavior verified.</x:v>
      </x:c>
      <x:c r="F64" s="33" t="str">
        <x:v>Unverified</x:v>
      </x:c>
      <x:c r="G64" s="33" t="str">
        <x:v>Unverified</x:v>
      </x:c>
      <x:c r="H64" s="33" t="str">
        <x:v>Documented: theme/display options [D2]</x:v>
      </x:c>
      <x:c r="I64" s="33" t="str">
        <x:v>Keep restrained theme and readable density options.</x:v>
      </x:c>
      <x:c r="J64" s="33" t="str">
        <x:v>P2</x:v>
      </x:c>
      <x:c r="K64" s="33" t="str">
        <x:v>Keep</x:v>
      </x:c>
      <x:c r="L64" s="33" t="str">
        <x:v>Theme and contrast verification</x:v>
      </x:c>
      <x:c r="M64" s="33" t="str">
        <x:v>Both themes preserve readable controls and evidence; settings persist.</x:v>
      </x:c>
      <x:c r="N64" s="33" t="str">
        <x:v>Verified</x:v>
      </x:c>
      <x:c r="O64" s="33" t="str">
        <x:v>Preserve</x:v>
      </x:c>
      <x:c r="P64" s="33" t="str">
        <x:v>2026-09-15: local-data-ui.json; browser test exit 0. verify-backup-schema.cjs 9/9 passed, including private-field rejection, exact evidence, UTF-8 size boundary and interrupted-import recovery. Owner acceptance pending.</x:v>
      </x:c>
    </x:row>
    <x:row r="65" ht="62" customHeight="1">
      <x:c r="A65" s="35" t="str">
        <x:v>UX-060</x:v>
      </x:c>
      <x:c r="B65" s="28" t="str">
        <x:v>Settings</x:v>
      </x:c>
      <x:c r="C65" s="28" t="str">
        <x:v>Live provider setup</x:v>
      </x:c>
      <x:c r="D65" s="28" t="str">
        <x:v>Partial</x:v>
      </x:c>
      <x:c r="E65" s="28" t="str">
        <x:v>Removed cosmetic provider-switch controls. Settings shows actual fixed runtime and user-triggered configuration snapshot. Provider switching/setup remains pending.</x:v>
      </x:c>
      <x:c r="F65" s="28" t="str">
        <x:v>Unverified</x:v>
      </x:c>
      <x:c r="G65" s="28" t="str">
        <x:v>Observed: current model label [C0]</x:v>
      </x:c>
      <x:c r="H65" s="28" t="str">
        <x:v>Documented: model selector [D1]</x:v>
      </x:c>
      <x:c r="I65" s="28" t="str">
        <x:v>Add explicit connected/tested/unavailable states for each supported provider.</x:v>
      </x:c>
      <x:c r="J65" s="28" t="str">
        <x:v>P1</x:v>
      </x:c>
      <x:c r="K65" s="28" t="str">
        <x:v>3 Trusted work</x:v>
      </x:c>
      <x:c r="L65" s="28" t="str">
        <x:v>Provider adapters and secure credential flow</x:v>
      </x:c>
      <x:c r="M65" s="28" t="str">
        <x:v>Changing provider cannot silently leave a different runtime active. No secrets in UI output.</x:v>
      </x:c>
      <x:c r="N65" s="28" t="str">
        <x:v>Implemented</x:v>
      </x:c>
      <x:c r="O65" s="28" t="str">
        <x:v>Proposed</x:v>
      </x:c>
      <x:c r="P65" s="28" t="str">
        <x:v>2026-09-16: diagnostics-ui.json. Implemented slice verified; full feature remains pending.</x:v>
      </x:c>
    </x:row>
    <x:row r="66" ht="49" customHeight="1">
      <x:c r="A66" s="36" t="str">
        <x:v>UX-061</x:v>
      </x:c>
      <x:c r="B66" s="33" t="str">
        <x:v>Settings</x:v>
      </x:c>
      <x:c r="C66" s="33" t="str">
        <x:v>Connections health</x:v>
      </x:c>
      <x:c r="D66" s="33" t="str">
        <x:v>Partial</x:v>
      </x:c>
      <x:c r="E66" s="33" t="str">
        <x:v>Local configuration/status snapshots refresh with an explicit check time. Reachability and live provider/device health remain unverified.</x:v>
      </x:c>
      <x:c r="F66" s="33" t="str">
        <x:v>Observed: Plugins navigation [G1]</x:v>
      </x:c>
      <x:c r="G66" s="33" t="str">
        <x:v>Observed: Plugins navigation [C0]</x:v>
      </x:c>
      <x:c r="H66" s="33" t="str">
        <x:v>Documented: connectors/plugins [D1]</x:v>
      </x:c>
      <x:c r="I66" s="33" t="str">
        <x:v>Show actual connection, last checked time, supported actions and recovery.</x:v>
      </x:c>
      <x:c r="J66" s="33" t="str">
        <x:v>P1</x:v>
      </x:c>
      <x:c r="K66" s="33" t="str">
        <x:v>3 Trusted work</x:v>
      </x:c>
      <x:c r="L66" s="33" t="str">
        <x:v>Adapter health checks</x:v>
      </x:c>
      <x:c r="M66" s="33" t="str">
        <x:v>Disconnected adapter cannot look ready; refresh updates from real state.</x:v>
      </x:c>
      <x:c r="N66" s="33" t="str">
        <x:v>Implemented</x:v>
      </x:c>
      <x:c r="O66" s="33" t="str">
        <x:v>Proposed</x:v>
      </x:c>
      <x:c r="P66" s="33" t="str">
        <x:v>2026-09-16: diagnostics-ui.json. Implemented slice verified; full feature remains pending.</x:v>
      </x:c>
    </x:row>
    <x:row r="67" ht="75" customHeight="1">
      <x:c r="A67" s="35" t="str">
        <x:v>UX-062</x:v>
      </x:c>
      <x:c r="B67" s="28" t="str">
        <x:v>Settings</x:v>
      </x:c>
      <x:c r="C67" s="28" t="str">
        <x:v>Privacy and data controls</x:v>
      </x:c>
      <x:c r="D67" s="28" t="str">
        <x:v>Present</x:v>
      </x:c>
      <x:c r="E67" s="28" t="str">
        <x:v>Privacy settings identifies browser conversation history, local server run records, transmitted chat/evidence, sent attachments, and local-only notes/file editor. Export and replacement scope and recovery are explicit.</x:v>
      </x:c>
      <x:c r="F67" s="28" t="str">
        <x:v>Unverified</x:v>
      </x:c>
      <x:c r="G67" s="28" t="str">
        <x:v>Unverified</x:v>
      </x:c>
      <x:c r="H67" s="28" t="str">
        <x:v>Unverified</x:v>
      </x:c>
      <x:c r="I67" s="28" t="str">
        <x:v>Explain local versus transmitted data and make export/reset scope explicit.</x:v>
      </x:c>
      <x:c r="J67" s="28" t="str">
        <x:v>P1</x:v>
      </x:c>
      <x:c r="K67" s="28" t="str">
        <x:v>3 Trusted work</x:v>
      </x:c>
      <x:c r="L67" s="28" t="str">
        <x:v>Storage and provider contracts</x:v>
      </x:c>
      <x:c r="M67" s="28" t="str">
        <x:v>User can identify what stays local and what a request sends; destructive actions are recoverable where promised.</x:v>
      </x:c>
      <x:c r="N67" s="28" t="str">
        <x:v>Verified</x:v>
      </x:c>
      <x:c r="O67" s="28" t="str">
        <x:v>Proposed</x:v>
      </x:c>
      <x:c r="P67" s="28" t="str">
        <x:v>2026-09-16: verify-local-data-ui.cjs; verify-backup-schema.cjs 10 tests; attachments.json. Local isolated checks passed; owner acceptance separate.</x:v>
      </x:c>
    </x:row>
    <x:row r="68" ht="62" customHeight="1">
      <x:c r="A68" s="36" t="str">
        <x:v>UX-063</x:v>
      </x:c>
      <x:c r="B68" s="33" t="str">
        <x:v>Settings</x:v>
      </x:c>
      <x:c r="C68" s="33" t="str">
        <x:v>Real account and sign-out</x:v>
      </x:c>
      <x:c r="D68" s="33" t="str">
        <x:v>Placeholder</x:v>
      </x:c>
      <x:c r="E68" s="33" t="str">
        <x:v>Account menu exists but Settings states no account connected.</x:v>
      </x:c>
      <x:c r="F68" s="33" t="str">
        <x:v>Observed: account row [G1]</x:v>
      </x:c>
      <x:c r="G68" s="33" t="str">
        <x:v>Observed: account row [C0]</x:v>
      </x:c>
      <x:c r="H68" s="33" t="str">
        <x:v>Unverified</x:v>
      </x:c>
      <x:c r="I68" s="33" t="str">
        <x:v>Hide unsupported account switching or clearly identify local profile.</x:v>
      </x:c>
      <x:c r="J68" s="33" t="str">
        <x:v>P1</x:v>
      </x:c>
      <x:c r="K68" s="33" t="str">
        <x:v>2 Chat</x:v>
      </x:c>
      <x:c r="L68" s="33" t="str">
        <x:v>2026-09-16 user decision: keep cross-device history, accounts/customer isolation and remote handoff pending; finish local features first.</x:v>
      </x:c>
      <x:c r="M68" s="33" t="str">
        <x:v>No control suggests remote sign-in or sign-out succeeded when it only changes local display.</x:v>
      </x:c>
      <x:c r="N68" s="33" t="str">
        <x:v>Deferred</x:v>
      </x:c>
      <x:c r="O68" s="33" t="str">
        <x:v>Proposed</x:v>
      </x:c>
      <x:c r="P68" s="33" t="str">
        <x:v>A0; polished.html account-menu; polished.js:480-482</x:v>
      </x:c>
    </x:row>
    <x:row r="69" ht="49" customHeight="1">
      <x:c r="A69" s="35" t="str">
        <x:v>UX-064</x:v>
      </x:c>
      <x:c r="B69" s="28" t="str">
        <x:v>Settings</x:v>
      </x:c>
      <x:c r="C69" s="28" t="str">
        <x:v>Help and feedback</x:v>
      </x:c>
      <x:c r="D69" s="28" t="str">
        <x:v>Present</x:v>
      </x:c>
      <x:c r="E69" s="28" t="str">
        <x:v>Help opens keyboard/local workspace guidance. Feedback saves locally and can be downloaded manually; no private logs or network submission are attached.</x:v>
      </x:c>
      <x:c r="F69" s="28" t="str">
        <x:v>Unverified</x:v>
      </x:c>
      <x:c r="G69" s="28" t="str">
        <x:v>Unverified</x:v>
      </x:c>
      <x:c r="H69" s="28" t="str">
        <x:v>Unverified</x:v>
      </x:c>
      <x:c r="I69" s="28" t="str">
        <x:v>Provide accurate supported features, shortcuts and local diagnostics export.</x:v>
      </x:c>
      <x:c r="J69" s="28" t="str">
        <x:v>P2</x:v>
      </x:c>
      <x:c r="K69" s="28" t="str">
        <x:v>2 Chat</x:v>
      </x:c>
      <x:c r="L69" s="28" t="str">
        <x:v>Support destination decision</x:v>
      </x:c>
      <x:c r="M69" s="28" t="str">
        <x:v>Every help entry opens useful information; feedback never silently sends private logs.</x:v>
      </x:c>
      <x:c r="N69" s="28" t="str">
        <x:v>Verified</x:v>
      </x:c>
      <x:c r="O69" s="28" t="str">
        <x:v>Proposed</x:v>
      </x:c>
      <x:c r="P69" s="28" t="str">
        <x:v>2026-09-16: diagnostics-ui.json. Isolated tests passed; no live provider/device call. Owner acceptance pending.</x:v>
      </x:c>
    </x:row>
    <x:row r="70" ht="49" customHeight="1">
      <x:c r="A70" s="36" t="str">
        <x:v>UX-065</x:v>
      </x:c>
      <x:c r="B70" s="33" t="str">
        <x:v>Settings</x:v>
      </x:c>
      <x:c r="C70" s="33" t="str">
        <x:v>Shortcut reference</x:v>
      </x:c>
      <x:c r="D70" s="33" t="str">
        <x:v>Present</x:v>
      </x:c>
      <x:c r="E70" s="33" t="str">
        <x:v>Shortcut reference generated from the active command registry; Ctrl/Cmd+K and Ctrl/Cmd+F verified.</x:v>
      </x:c>
      <x:c r="F70" s="33" t="str">
        <x:v>Unverified</x:v>
      </x:c>
      <x:c r="G70" s="33" t="str">
        <x:v>Documented: shortcut reference and customization [C4]</x:v>
      </x:c>
      <x:c r="H70" s="33" t="str">
        <x:v>Documented: Ctrl+/ shortcut list [D1]</x:v>
      </x:c>
      <x:c r="I70" s="33" t="str">
        <x:v>Add short searchable shortcut reference; avoid conflicting bindings.</x:v>
      </x:c>
      <x:c r="J70" s="33" t="str">
        <x:v>P2</x:v>
      </x:c>
      <x:c r="K70" s="33" t="str">
        <x:v>2 Chat</x:v>
      </x:c>
      <x:c r="L70" s="33" t="str">
        <x:v>Action registry</x:v>
      </x:c>
      <x:c r="M70" s="33" t="str">
        <x:v>Displayed shortcuts work and unavailable actions are not advertised.</x:v>
      </x:c>
      <x:c r="N70" s="33" t="str">
        <x:v>Verified</x:v>
      </x:c>
      <x:c r="O70" s="33" t="str">
        <x:v>Proposed</x:v>
      </x:c>
      <x:c r="P70" s="33" t="str">
        <x:v>2026-09-15: .intentgraph/evidence/ux-fixes-2026-09-15/local-commands.json; browser test exit 0. Mocked requests; owner acceptance pending.</x:v>
      </x:c>
    </x:row>
    <x:row r="71" ht="62" customHeight="1">
      <x:c r="A71" s="35" t="str">
        <x:v>UX-066</x:v>
      </x:c>
      <x:c r="B71" s="28" t="str">
        <x:v>Outputs</x:v>
      </x:c>
      <x:c r="C71" s="28" t="str">
        <x:v>Artifact library for real chats</x:v>
      </x:c>
      <x:c r="D71" s="28" t="str">
        <x:v>Partial</x:v>
      </x:c>
      <x:c r="E71" s="28" t="str">
        <x:v>Artifacts now list actual saved raw evidence outputs for the selected chat, with exact downloads and provenance. General generated-file registry remains pending.</x:v>
      </x:c>
      <x:c r="F71" s="28" t="str">
        <x:v>Unverified</x:v>
      </x:c>
      <x:c r="G71" s="28" t="str">
        <x:v>Documented: work with files and artifacts [C1]</x:v>
      </x:c>
      <x:c r="H71" s="28" t="str">
        <x:v>Documented: HTML/PDF previews [D1]</x:v>
      </x:c>
      <x:c r="I71" s="28" t="str">
        <x:v>Connect saved output files to the run that created them.</x:v>
      </x:c>
      <x:c r="J71" s="28" t="str">
        <x:v>P1</x:v>
      </x:c>
      <x:c r="K71" s="28" t="str">
        <x:v>3 Trusted work</x:v>
      </x:c>
      <x:c r="L71" s="28" t="str">
        <x:v>Artifact storage and provenance</x:v>
      </x:c>
      <x:c r="M71" s="28" t="str">
        <x:v>Real chat artifact opens correct file; another chat never inherits sample output.</x:v>
      </x:c>
      <x:c r="N71" s="28" t="str">
        <x:v>Implemented</x:v>
      </x:c>
      <x:c r="O71" s="28" t="str">
        <x:v>Proposed</x:v>
      </x:c>
      <x:c r="P71" s="28" t="str">
        <x:v>2026-09-16: workspace-shell.json. Implemented slice verified; full feature remains pending.</x:v>
      </x:c>
    </x:row>
    <x:row r="72" ht="49" customHeight="1">
      <x:c r="A72" s="36" t="str">
        <x:v>UX-067</x:v>
      </x:c>
      <x:c r="B72" s="33" t="str">
        <x:v>Outputs</x:v>
      </x:c>
      <x:c r="C72" s="33" t="str">
        <x:v>Browser preview</x:v>
      </x:c>
      <x:c r="D72" s="33" t="str">
        <x:v>Partial</x:v>
      </x:c>
      <x:c r="E72" s="33" t="str">
        <x:v>Removed simulated sample runs. Browser pane states no connected session and offers no fake actions. Live browser preview remains pending.</x:v>
      </x:c>
      <x:c r="F72" s="33" t="str">
        <x:v>Unverified</x:v>
      </x:c>
      <x:c r="G72" s="33" t="str">
        <x:v>Observed: working embedded browser [C0]</x:v>
      </x:c>
      <x:c r="H72" s="33" t="str">
        <x:v>Documented: Browser pane [D1]</x:v>
      </x:c>
      <x:c r="I72" s="33" t="str">
        <x:v>Use a real bounded preview with URL, loading, errors and navigation controls.</x:v>
      </x:c>
      <x:c r="J72" s="33" t="str">
        <x:v>P2</x:v>
      </x:c>
      <x:c r="K72" s="33" t="str">
        <x:v>4 Extend</x:v>
      </x:c>
      <x:c r="L72" s="33" t="str">
        <x:v>Connect existing browser adapter to Aven UI</x:v>
      </x:c>
      <x:c r="M72" s="33" t="str">
        <x:v>Preview shows actual current content and truthful unavailable states.</x:v>
      </x:c>
      <x:c r="N72" s="33" t="str">
        <x:v>Implemented</x:v>
      </x:c>
      <x:c r="O72" s="33" t="str">
        <x:v>Proposed</x:v>
      </x:c>
      <x:c r="P72" s="33" t="str">
        <x:v>2026-09-16: pane-controls.json. Remaining scope is explicit; not marked complete.</x:v>
      </x:c>
    </x:row>
    <x:row r="73" ht="49" customHeight="1">
      <x:c r="A73" s="35" t="str">
        <x:v>UX-068</x:v>
      </x:c>
      <x:c r="B73" s="28" t="str">
        <x:v>Outputs</x:v>
      </x:c>
      <x:c r="C73" s="28" t="str">
        <x:v>Computer preview and control</x:v>
      </x:c>
      <x:c r="D73" s="28" t="str">
        <x:v>Partial</x:v>
      </x:c>
      <x:c r="E73" s="28" t="str">
        <x:v>Removed simulated sample runs. Computer pane states no connected session and offers no fake actions. Live screen/control integration remains pending.</x:v>
      </x:c>
      <x:c r="F73" s="28" t="str">
        <x:v>Observed: bot screen entry; execution untested [G1]</x:v>
      </x:c>
      <x:c r="G73" s="28" t="str">
        <x:v>Documented: computer use [C1]</x:v>
      </x:c>
      <x:c r="H73" s="28" t="str">
        <x:v>Documented: computer use [D1]</x:v>
      </x:c>
      <x:c r="I73" s="28" t="str">
        <x:v>Do not imply a live desktop until session and permissions are real.</x:v>
      </x:c>
      <x:c r="J73" s="28" t="str">
        <x:v>P3</x:v>
      </x:c>
      <x:c r="K73" s="28" t="str">
        <x:v>4 Extend</x:v>
      </x:c>
      <x:c r="L73" s="28" t="str">
        <x:v>Integrate existing desktop adapter and approval UX</x:v>
      </x:c>
      <x:c r="M73" s="28" t="str">
        <x:v>Stale or unavailable screen is labeled; controls apply only to authorized session.</x:v>
      </x:c>
      <x:c r="N73" s="28" t="str">
        <x:v>Implemented</x:v>
      </x:c>
      <x:c r="O73" s="28" t="str">
        <x:v>Proposed</x:v>
      </x:c>
      <x:c r="P73" s="28" t="str">
        <x:v>2026-09-16: pane-controls.json. Remaining scope is explicit; not marked complete.</x:v>
      </x:c>
    </x:row>
    <x:row r="74" ht="49" customHeight="1">
      <x:c r="A74" s="36" t="str">
        <x:v>UX-069</x:v>
      </x:c>
      <x:c r="B74" s="33" t="str">
        <x:v>Outputs</x:v>
      </x:c>
      <x:c r="C74" s="33" t="str">
        <x:v>Resizable work panes</x:v>
      </x:c>
      <x:c r="D74" s="33" t="str">
        <x:v>Present</x:v>
      </x:c>
      <x:c r="E74" s="33" t="str">
        <x:v>Desktop pane resizes with pointer or keyboard and persists width; clamps to preserve 320px chat. Small screens retain modal pane. Close restores opener.</x:v>
      </x:c>
      <x:c r="F74" s="33" t="str">
        <x:v>Observed: profile/screen pane [G1]</x:v>
      </x:c>
      <x:c r="G74" s="33" t="str">
        <x:v>Observed: side-by-side chat and browser [C0]</x:v>
      </x:c>
      <x:c r="H74" s="33" t="str">
        <x:v>Documented: drag-drop panes [D1]</x:v>
      </x:c>
      <x:c r="I74" s="33" t="str">
        <x:v>Support focused chat plus one useful evidence/output pane first.</x:v>
      </x:c>
      <x:c r="J74" s="33" t="str">
        <x:v>P2</x:v>
      </x:c>
      <x:c r="K74" s="33" t="str">
        <x:v>3 Trusted work</x:v>
      </x:c>
      <x:c r="L74" s="33" t="str">
        <x:v>Responsive pane model</x:v>
      </x:c>
      <x:c r="M74" s="33" t="str">
        <x:v>Opening evidence preserves enough room to read and type; close returns focus.</x:v>
      </x:c>
      <x:c r="N74" s="33" t="str">
        <x:v>Verified</x:v>
      </x:c>
      <x:c r="O74" s="33" t="str">
        <x:v>Proposed</x:v>
      </x:c>
      <x:c r="P74" s="33" t="str">
        <x:v>2026-09-16: pane-controls.json. Local isolated checks passed; owner acceptance separate.</x:v>
      </x:c>
    </x:row>
    <x:row r="75" ht="62" customHeight="1">
      <x:c r="A75" s="35" t="str">
        <x:v>UX-070</x:v>
      </x:c>
      <x:c r="B75" s="28" t="str">
        <x:v>Outputs</x:v>
      </x:c>
      <x:c r="C75" s="28" t="str">
        <x:v>File tree and editor</x:v>
      </x:c>
      <x:c r="D75" s="28" t="str">
        <x:v>Present</x:v>
      </x:c>
      <x:c r="E75" s="28" t="str">
        <x:v>Session-scoped user-selected folder lists bounded text files. Exact before/after review, explicit write permission, conflict detection, stale-review rejection, verified save and draft protection are implemented.</x:v>
      </x:c>
      <x:c r="F75" s="28" t="str">
        <x:v>Unverified</x:v>
      </x:c>
      <x:c r="G75" s="28" t="str">
        <x:v>Documented: file tree and search [C4]</x:v>
      </x:c>
      <x:c r="H75" s="28" t="str">
        <x:v>Documented: integrated file editor [D1]</x:v>
      </x:c>
      <x:c r="I75" s="28" t="str">
        <x:v>Defer IDE parity; prioritize network documents and config review.</x:v>
      </x:c>
      <x:c r="J75" s="28" t="str">
        <x:v>P3</x:v>
      </x:c>
      <x:c r="K75" s="28" t="str">
        <x:v>4 Extend</x:v>
      </x:c>
      <x:c r="L75" s="28" t="str">
        <x:v>Filesystem adapter and product scope</x:v>
      </x:c>
      <x:c r="M75" s="28" t="str">
        <x:v>Only authorized files are shown and edits have explicit save/diff behavior.</x:v>
      </x:c>
      <x:c r="N75" s="28" t="str">
        <x:v>Verified</x:v>
      </x:c>
      <x:c r="O75" s="28" t="str">
        <x:v>Proposed</x:v>
      </x:c>
      <x:c r="P75" s="28" t="str">
        <x:v>2026-09-16: verify-local-files.cjs 34 checks; files-shell.json 26 checks with real Web Crypto and memory-only file handles. No user disk writes. Real OS picker and owner acceptance remain unverified.</x:v>
      </x:c>
    </x:row>
    <x:row r="76" ht="42" customHeight="1">
      <x:c r="A76" s="36" t="str">
        <x:v>UX-071</x:v>
      </x:c>
      <x:c r="B76" s="33" t="str">
        <x:v>Outputs</x:v>
      </x:c>
      <x:c r="C76" s="33" t="str">
        <x:v>Interactive terminal</x:v>
      </x:c>
      <x:c r="D76" s="33" t="str">
        <x:v>Missing</x:v>
      </x:c>
      <x:c r="E76" s="33" t="str">
        <x:v>Raw diagnostic output exists, not a general interactive shell.</x:v>
      </x:c>
      <x:c r="F76" s="33" t="str">
        <x:v>Unverified</x:v>
      </x:c>
      <x:c r="G76" s="33" t="str">
        <x:v>Documented: integrated terminal [C6]</x:v>
      </x:c>
      <x:c r="H76" s="33" t="str">
        <x:v>Documented: terminal pane [D1]</x:v>
      </x:c>
      <x:c r="I76" s="33" t="str">
        <x:v>Keep read-only evidence primary; add terminal only for defined authorized workflows.</x:v>
      </x:c>
      <x:c r="J76" s="33" t="str">
        <x:v>P3</x:v>
      </x:c>
      <x:c r="K76" s="33" t="str">
        <x:v>4 Extend</x:v>
      </x:c>
      <x:c r="L76" s="33" t="str">
        <x:v>Execution boundaries</x:v>
      </x:c>
      <x:c r="M76" s="33" t="str">
        <x:v>User sees target/session and permissions; raw evidence remains separately retained.</x:v>
      </x:c>
      <x:c r="N76" s="33" t="str">
        <x:v>Not started</x:v>
      </x:c>
      <x:c r="O76" s="33" t="str">
        <x:v>Proposed</x:v>
      </x:c>
      <x:c r="P76" s="33" t="str">
        <x:v>architecture.json; polished.js; polished.js:319-370</x:v>
      </x:c>
    </x:row>
    <x:row r="77" ht="75" customHeight="1">
      <x:c r="A77" s="35" t="str">
        <x:v>UX-072</x:v>
      </x:c>
      <x:c r="B77" s="28" t="str">
        <x:v>Review</x:v>
      </x:c>
      <x:c r="C77" s="28" t="str">
        <x:v>Before/after change review</x:v>
      </x:c>
      <x:c r="D77" s="28" t="str">
        <x:v>Partial</x:v>
      </x:c>
      <x:c r="E77" s="28" t="str">
        <x:v>Local file review binds exact path, original hash/mtime/size and draft hash. Edits invalidate review and external changes prevent overwrite. Network-device impact/rollback and execution approval are still pending.</x:v>
      </x:c>
      <x:c r="F77" s="28" t="str">
        <x:v>Unverified</x:v>
      </x:c>
      <x:c r="G77" s="28" t="str">
        <x:v>Documented: diff review and scope selection [C3]</x:v>
      </x:c>
      <x:c r="H77" s="28" t="str">
        <x:v>Documented: visual diffs [D1]</x:v>
      </x:c>
      <x:c r="I77" s="28" t="str">
        <x:v>Adapt review to network configuration: exact target, diff, impact and approval.</x:v>
      </x:c>
      <x:c r="J77" s="28" t="str">
        <x:v>P1</x:v>
      </x:c>
      <x:c r="K77" s="28" t="str">
        <x:v>3 Trusted work</x:v>
      </x:c>
      <x:c r="L77" s="28" t="str">
        <x:v>Change proposal/approval backend</x:v>
      </x:c>
      <x:c r="M77" s="28" t="str">
        <x:v>Proposal shows exact diff and target; edits invalidate prior approval.</x:v>
      </x:c>
      <x:c r="N77" s="28" t="str">
        <x:v>Implemented</x:v>
      </x:c>
      <x:c r="O77" s="28" t="str">
        <x:v>Proposed</x:v>
      </x:c>
      <x:c r="P77" s="28" t="str">
        <x:v>2026-09-16: files-shell.json passed. Verified local file slice only; network configuration review is not claimed.</x:v>
      </x:c>
    </x:row>
    <x:row r="78" ht="62" customHeight="1">
      <x:c r="A78" s="36" t="str">
        <x:v>UX-073</x:v>
      </x:c>
      <x:c r="B78" s="33" t="str">
        <x:v>Review</x:v>
      </x:c>
      <x:c r="C78" s="33" t="str">
        <x:v>Inline evidence annotations</x:v>
      </x:c>
      <x:c r="D78" s="33" t="str">
        <x:v>Present</x:v>
      </x:c>
      <x:c r="E78" s="33" t="str">
        <x:v>Append-only local annotations bind message, run, evidence identity and exact SHA-256. Stale evidence or pane discard prevents save; failed saves keep the draft.</x:v>
      </x:c>
      <x:c r="F78" s="33" t="str">
        <x:v>Unverified</x:v>
      </x:c>
      <x:c r="G78" s="33" t="str">
        <x:v>Documented: inline comments [C3]</x:v>
      </x:c>
      <x:c r="H78" s="33" t="str">
        <x:v>Documented: inline diff comments [D1]</x:v>
      </x:c>
      <x:c r="I78" s="33" t="str">
        <x:v>Attach comments to immutable evidence line and run IDs.</x:v>
      </x:c>
      <x:c r="J78" s="33" t="str">
        <x:v>P2</x:v>
      </x:c>
      <x:c r="K78" s="33" t="str">
        <x:v>3 Trusted work</x:v>
      </x:c>
      <x:c r="L78" s="33" t="str">
        <x:v>Evidence identity</x:v>
      </x:c>
      <x:c r="M78" s="33" t="str">
        <x:v>Comment cannot drift to a different result after rerun.</x:v>
      </x:c>
      <x:c r="N78" s="33" t="str">
        <x:v>Verified</x:v>
      </x:c>
      <x:c r="O78" s="33" t="str">
        <x:v>Proposed</x:v>
      </x:c>
      <x:c r="P78" s="33" t="str">
        <x:v>2026-09-16: evidence-shell/evidence-shell-results.json 11 checks. Local isolated checks passed; owner acceptance separate.</x:v>
      </x:c>
    </x:row>
    <x:row r="79" ht="42" customHeight="1">
      <x:c r="A79" s="35" t="str">
        <x:v>UX-074</x:v>
      </x:c>
      <x:c r="B79" s="28" t="str">
        <x:v>Review</x:v>
      </x:c>
      <x:c r="C79" s="28" t="str">
        <x:v>Execution approval receipt</x:v>
      </x:c>
      <x:c r="D79" s="28" t="str">
        <x:v>Partial</x:v>
      </x:c>
      <x:c r="E79" s="28" t="str">
        <x:v>Separate adapters implement one-time digest-bound approval. Aven lacks integrated general approval UI.</x:v>
      </x:c>
      <x:c r="F79" s="28" t="str">
        <x:v>Unverified</x:v>
      </x:c>
      <x:c r="G79" s="28" t="str">
        <x:v>Documented: agent approvals [C6]</x:v>
      </x:c>
      <x:c r="H79" s="28" t="str">
        <x:v>Documented: permission modes [D1]</x:v>
      </x:c>
      <x:c r="I79" s="28" t="str">
        <x:v>Preserve read-only safety; require exact scope-bound approval for future changes.</x:v>
      </x:c>
      <x:c r="J79" s="28" t="str">
        <x:v>P1</x:v>
      </x:c>
      <x:c r="K79" s="28" t="str">
        <x:v>3 Trusted work</x:v>
      </x:c>
      <x:c r="L79" s="28" t="str">
        <x:v>Integrate existing receipt flow; define future network write scope</x:v>
      </x:c>
      <x:c r="M79" s="28" t="str">
        <x:v>Target or command changes require new review; old approval cannot authorize new work.</x:v>
      </x:c>
      <x:c r="N79" s="28" t="str">
        <x:v>Not started</x:v>
      </x:c>
      <x:c r="O79" s="28" t="str">
        <x:v>Proposed</x:v>
      </x:c>
      <x:c r="P79" s="28" t="str">
        <x:v>intentgraph/adapters/index.cjs:462-503,570-598; polished.js:359-370</x:v>
      </x:c>
    </x:row>
    <x:row r="80" ht="42" customHeight="1">
      <x:c r="A80" s="36" t="str">
        <x:v>UX-075</x:v>
      </x:c>
      <x:c r="B80" s="33" t="str">
        <x:v>Review</x:v>
      </x:c>
      <x:c r="C80" s="33" t="str">
        <x:v>Git stage, commit and PR controls</x:v>
      </x:c>
      <x:c r="D80" s="33" t="str">
        <x:v>Missing</x:v>
      </x:c>
      <x:c r="E80" s="33" t="str">
        <x:v>No Git workflow in Aven.</x:v>
      </x:c>
      <x:c r="F80" s="33" t="str">
        <x:v>Unverified</x:v>
      </x:c>
      <x:c r="G80" s="33" t="str">
        <x:v>Documented: stage, revert, commit, PR review [C3]</x:v>
      </x:c>
      <x:c r="H80" s="33" t="str">
        <x:v>Documented: PR monitoring [D1]</x:v>
      </x:c>
      <x:c r="I80" s="33" t="str">
        <x:v>Defer; only add if configuration-as-code becomes a primary workflow.</x:v>
      </x:c>
      <x:c r="J80" s="33" t="str">
        <x:v>P3</x:v>
      </x:c>
      <x:c r="K80" s="33" t="str">
        <x:v>4 Extend</x:v>
      </x:c>
      <x:c r="L80" s="33" t="str">
        <x:v>Repository integration and product scope</x:v>
      </x:c>
      <x:c r="M80" s="33" t="str">
        <x:v>Git operations have clear repository and diff scope; no hidden publish.</x:v>
      </x:c>
      <x:c r="N80" s="33" t="str">
        <x:v>Not started</x:v>
      </x:c>
      <x:c r="O80" s="33" t="str">
        <x:v>Proposed</x:v>
      </x:c>
      <x:c r="P80" s="33" t="str">
        <x:v>polished.html; polished.js; intentgraph/adapters/index.cjs:462-503,570-598; polished.js:359-370</x:v>
      </x:c>
    </x:row>
    <x:row r="81" ht="42" customHeight="1">
      <x:c r="A81" s="35" t="str">
        <x:v>UX-076</x:v>
      </x:c>
      <x:c r="B81" s="28" t="str">
        <x:v>Network</x:v>
      </x:c>
      <x:c r="C81" s="28" t="str">
        <x:v>Device inventory selection</x:v>
      </x:c>
      <x:c r="D81" s="28" t="str">
        <x:v>Partial</x:v>
      </x:c>
      <x:c r="E81" s="28" t="str">
        <x:v>Backend inventory/diagnostics exist; composer lacks clear scope selection.</x:v>
      </x:c>
      <x:c r="F81" s="28" t="str">
        <x:v>Unverified</x:v>
      </x:c>
      <x:c r="G81" s="28" t="str">
        <x:v>Unverified</x:v>
      </x:c>
      <x:c r="H81" s="28" t="str">
        <x:v>Unverified</x:v>
      </x:c>
      <x:c r="I81" s="28" t="str">
        <x:v>Make selected devices and connection state visible before diagnostic work.</x:v>
      </x:c>
      <x:c r="J81" s="28" t="str">
        <x:v>P1</x:v>
      </x:c>
      <x:c r="K81" s="28" t="str">
        <x:v>3 Trusted work</x:v>
      </x:c>
      <x:c r="L81" s="28" t="str">
        <x:v>Inventory adapter</x:v>
      </x:c>
      <x:c r="M81" s="28" t="str">
        <x:v>User can see exact selected devices; aliases resolve consistently to evidence IDs.</x:v>
      </x:c>
      <x:c r="N81" s="28" t="str">
        <x:v>Not started</x:v>
      </x:c>
      <x:c r="O81" s="28" t="str">
        <x:v>Proposed</x:v>
      </x:c>
      <x:c r="P81" s="28" t="str">
        <x:v>polished.js:332-357; intentgraph/agent-runtime.cjs:271-338</x:v>
      </x:c>
    </x:row>
    <x:row r="82" ht="49" customHeight="1">
      <x:c r="A82" s="36" t="str">
        <x:v>UX-077</x:v>
      </x:c>
      <x:c r="B82" s="33" t="str">
        <x:v>Network</x:v>
      </x:c>
      <x:c r="C82" s="33" t="str">
        <x:v>Read-only scope visibility</x:v>
      </x:c>
      <x:c r="D82" s="33" t="str">
        <x:v>Present</x:v>
      </x:c>
      <x:c r="E82" s="33" t="str">
        <x:v>Composer scope follows backend mode: Plan has no tools; Inspect uses allowlisted read-only diagnostics. Device health requires evidence.</x:v>
      </x:c>
      <x:c r="F82" s="33" t="str">
        <x:v>Unverified</x:v>
      </x:c>
      <x:c r="G82" s="33" t="str">
        <x:v>Documented: permission modes [C6]</x:v>
      </x:c>
      <x:c r="H82" s="33" t="str">
        <x:v>Documented: permission mode selector [D1]</x:v>
      </x:c>
      <x:c r="I82" s="33" t="str">
        <x:v>Show concise current access scope near relevant actions.</x:v>
      </x:c>
      <x:c r="J82" s="33" t="str">
        <x:v>P1</x:v>
      </x:c>
      <x:c r="K82" s="33" t="str">
        <x:v>3 Trusted work</x:v>
      </x:c>
      <x:c r="L82" s="33" t="str">
        <x:v>Runtime-enforced capability state</x:v>
      </x:c>
      <x:c r="M82" s="33" t="str">
        <x:v>Read-only label agrees with enforced tool set; no confusing change/run action is offered.</x:v>
      </x:c>
      <x:c r="N82" s="33" t="str">
        <x:v>Verified</x:v>
      </x:c>
      <x:c r="O82" s="33" t="str">
        <x:v>Proposed</x:v>
      </x:c>
      <x:c r="P82" s="33" t="str">
        <x:v>2026-09-16: pane-controls.json; verify-chat-modes.cjs. Local isolated checks passed; owner acceptance separate.</x:v>
      </x:c>
    </x:row>
    <x:row r="83" ht="75" customHeight="1">
      <x:c r="A83" s="35" t="str">
        <x:v>UX-078</x:v>
      </x:c>
      <x:c r="B83" s="28" t="str">
        <x:v>Network</x:v>
      </x:c>
      <x:c r="C83" s="28" t="str">
        <x:v>Evidence provenance and timestamps</x:v>
      </x:c>
      <x:c r="D83" s="28" t="str">
        <x:v>Present</x:v>
      </x:c>
      <x:c r="E83" s="28" t="str">
        <x:v>Raw diagnostics and investigation evidence are retained.</x:v>
      </x:c>
      <x:c r="F83" s="28" t="str">
        <x:v>Unverified</x:v>
      </x:c>
      <x:c r="G83" s="28" t="str">
        <x:v>Unverified</x:v>
      </x:c>
      <x:c r="H83" s="28" t="str">
        <x:v>Unverified</x:v>
      </x:c>
      <x:c r="I83" s="28" t="str">
        <x:v>Keep device, command, time and actual result together.</x:v>
      </x:c>
      <x:c r="J83" s="28" t="str">
        <x:v>P1</x:v>
      </x:c>
      <x:c r="K83" s="28" t="str">
        <x:v>Keep</x:v>
      </x:c>
      <x:c r="L83" s="28" t="str">
        <x:v>Evidence schema regression</x:v>
      </x:c>
      <x:c r="M83" s="28" t="str">
        <x:v>Copied/exported evidence traces to exact run and command; generated narrative is distinguishable.</x:v>
      </x:c>
      <x:c r="N83" s="28" t="str">
        <x:v>Verified</x:v>
      </x:c>
      <x:c r="O83" s="28" t="str">
        <x:v>Preserve</x:v>
      </x:c>
      <x:c r="P83" s="28" t="str">
        <x:v>2026-09-16: preservation audit PASS. .intentgraph/evidence/pending-88-20260916/preserved-audit.json (Markdown has run-42 and command/target); .intentgraph/evidence/ux-fixes-2026-09-15/local-data-ui.json (raw export) Owner acceptance remains separate.</x:v>
      </x:c>
    </x:row>
    <x:row r="84" ht="62" customHeight="1">
      <x:c r="A84" s="36" t="str">
        <x:v>UX-079</x:v>
      </x:c>
      <x:c r="B84" s="33" t="str">
        <x:v>Network</x:v>
      </x:c>
      <x:c r="C84" s="33" t="str">
        <x:v>Success versus healthy status</x:v>
      </x:c>
      <x:c r="D84" s="33" t="str">
        <x:v>Partial</x:v>
      </x:c>
      <x:c r="E84" s="33" t="str">
        <x:v>Current work explicitly avoids equating command success with network health.</x:v>
      </x:c>
      <x:c r="F84" s="33" t="str">
        <x:v>Unverified</x:v>
      </x:c>
      <x:c r="G84" s="33" t="str">
        <x:v>Unverified</x:v>
      </x:c>
      <x:c r="H84" s="33" t="str">
        <x:v>Unverified</x:v>
      </x:c>
      <x:c r="I84" s="33" t="str">
        <x:v>Use separate execution outcome and interpreted health assessment.</x:v>
      </x:c>
      <x:c r="J84" s="33" t="str">
        <x:v>P1</x:v>
      </x:c>
      <x:c r="K84" s="33" t="str">
        <x:v>Keep</x:v>
      </x:c>
      <x:c r="L84" s="33" t="str">
        <x:v>Status semantics regression</x:v>
      </x:c>
      <x:c r="M84" s="33" t="str">
        <x:v>Successful command on faulty device cannot appear as healthy solely from exit status.</x:v>
      </x:c>
      <x:c r="N84" s="33" t="str">
        <x:v>Verified</x:v>
      </x:c>
      <x:c r="O84" s="33" t="str">
        <x:v>Preserve</x:v>
      </x:c>
      <x:c r="P84" s="33" t="str">
        <x:v>2026-09-16: preservation audit PASS. preserved-audit.json: top-level SUCCESS with nested FAILURE renders FAILURE; run state outcome precedence verified Owner acceptance remains separate.</x:v>
      </x:c>
    </x:row>
    <x:row r="85" ht="49" customHeight="1">
      <x:c r="A85" s="35" t="str">
        <x:v>UX-080</x:v>
      </x:c>
      <x:c r="B85" s="28" t="str">
        <x:v>Network</x:v>
      </x:c>
      <x:c r="C85" s="28" t="str">
        <x:v>Scope, impact and rollback preview</x:v>
      </x:c>
      <x:c r="D85" s="28" t="str">
        <x:v>Missing</x:v>
      </x:c>
      <x:c r="E85" s="28" t="str">
        <x:v>No complete state-changing workflow.</x:v>
      </x:c>
      <x:c r="F85" s="28" t="str">
        <x:v>Unverified</x:v>
      </x:c>
      <x:c r="G85" s="28" t="str">
        <x:v>Documented: review and revert, code scope [C3]</x:v>
      </x:c>
      <x:c r="H85" s="28" t="str">
        <x:v>Documented: checkpoint review [D1]</x:v>
      </x:c>
      <x:c r="I85" s="28" t="str">
        <x:v>Require network-specific change scope and recovery plan before enabling writes.</x:v>
      </x:c>
      <x:c r="J85" s="28" t="str">
        <x:v>P1</x:v>
      </x:c>
      <x:c r="K85" s="28" t="str">
        <x:v>3 Trusted work</x:v>
      </x:c>
      <x:c r="L85" s="28" t="str">
        <x:v>Network change backend and approval receipt</x:v>
      </x:c>
      <x:c r="M85" s="28" t="str">
        <x:v>Review displays affected devices and rollback limits; chat revert never substitutes for device rollback.</x:v>
      </x:c>
      <x:c r="N85" s="28" t="str">
        <x:v>Not started</x:v>
      </x:c>
      <x:c r="O85" s="28" t="str">
        <x:v>Proposed</x:v>
      </x:c>
      <x:c r="P85" s="28" t="str">
        <x:v>architecture.json; intentgraph/agent-runtime.cjs:203-214,271-415</x:v>
      </x:c>
    </x:row>
    <x:row r="86" ht="49" customHeight="1">
      <x:c r="A86" s="36" t="str">
        <x:v>UX-081</x:v>
      </x:c>
      <x:c r="B86" s="33" t="str">
        <x:v>Network</x:v>
      </x:c>
      <x:c r="C86" s="33" t="str">
        <x:v>Comparison of diagnostic runs</x:v>
      </x:c>
      <x:c r="D86" s="33" t="str">
        <x:v>Present</x:v>
      </x:c>
      <x:c r="E86" s="33" t="str">
        <x:v>Compare saved diagnostic evidence with device, command, run, time and exact raw output. Missing output and empty output remain distinct.</x:v>
      </x:c>
      <x:c r="F86" s="33" t="str">
        <x:v>Unverified</x:v>
      </x:c>
      <x:c r="G86" s="33" t="str">
        <x:v>Documented: review scope comparison [C3]</x:v>
      </x:c>
      <x:c r="H86" s="33" t="str">
        <x:v>Documented: diff review [D1]</x:v>
      </x:c>
      <x:c r="I86" s="33" t="str">
        <x:v>Compare selected runs with time, target and evidence alignment.</x:v>
      </x:c>
      <x:c r="J86" s="33" t="str">
        <x:v>P2</x:v>
      </x:c>
      <x:c r="K86" s="33" t="str">
        <x:v>3 Trusted work</x:v>
      </x:c>
      <x:c r="L86" s="33" t="str">
        <x:v>Durable evidence store</x:v>
      </x:c>
      <x:c r="M86" s="33" t="str">
        <x:v>Different devices/times are labeled; missing results are not represented as zero change.</x:v>
      </x:c>
      <x:c r="N86" s="33" t="str">
        <x:v>Verified</x:v>
      </x:c>
      <x:c r="O86" s="33" t="str">
        <x:v>Proposed</x:v>
      </x:c>
      <x:c r="P86" s="33" t="str">
        <x:v>2026-09-16: evidence-shell/evidence-shell-results.json; verify-evidence-tools.cjs. Local isolated checks passed; owner acceptance separate.</x:v>
      </x:c>
    </x:row>
    <x:row r="87" ht="42" customHeight="1">
      <x:c r="A87" s="35" t="str">
        <x:v>UX-082</x:v>
      </x:c>
      <x:c r="B87" s="28" t="str">
        <x:v>Network</x:v>
      </x:c>
      <x:c r="C87" s="28" t="str">
        <x:v>Topology and visual evidence</x:v>
      </x:c>
      <x:c r="D87" s="28" t="str">
        <x:v>Not verified</x:v>
      </x:c>
      <x:c r="E87" s="28" t="str">
        <x:v>Topology specialist exists; interactive topology output not established.</x:v>
      </x:c>
      <x:c r="F87" s="28" t="str">
        <x:v>Unverified</x:v>
      </x:c>
      <x:c r="G87" s="28" t="str">
        <x:v>Documented: visualizations [C1]</x:v>
      </x:c>
      <x:c r="H87" s="28" t="str">
        <x:v>Unverified</x:v>
      </x:c>
      <x:c r="I87" s="28" t="str">
        <x:v>Add traceable network diagrams only when backed by actual inventory.</x:v>
      </x:c>
      <x:c r="J87" s="28" t="str">
        <x:v>P2</x:v>
      </x:c>
      <x:c r="K87" s="28" t="str">
        <x:v>4 Extend</x:v>
      </x:c>
      <x:c r="L87" s="28" t="str">
        <x:v>Topology data contract</x:v>
      </x:c>
      <x:c r="M87" s="28" t="str">
        <x:v>Nodes/links identify source and freshness; inferred links are labeled.</x:v>
      </x:c>
      <x:c r="N87" s="28" t="str">
        <x:v>Not started</x:v>
      </x:c>
      <x:c r="O87" s="28" t="str">
        <x:v>Investigate</x:v>
      </x:c>
      <x:c r="P87" s="28" t="str">
        <x:v>Runtime/output verification needed; intentgraph/agent-runtime.cjs:203-214,271-415</x:v>
      </x:c>
    </x:row>
    <x:row r="88" ht="49" customHeight="1">
      <x:c r="A88" s="36" t="str">
        <x:v>UX-083</x:v>
      </x:c>
      <x:c r="B88" s="33" t="str">
        <x:v>Automation</x:v>
      </x:c>
      <x:c r="C88" s="33" t="str">
        <x:v>Feed / activity inbox</x:v>
      </x:c>
      <x:c r="D88" s="33" t="str">
        <x:v>Present</x:v>
      </x:c>
      <x:c r="E88" s="33" t="str">
        <x:v>Feed derives entries from actual saved run messages and opens their exact message. Empty views explain what will appear.</x:v>
      </x:c>
      <x:c r="F88" s="33" t="str">
        <x:v>Observed: unread dots and message activity [G1]</x:v>
      </x:c>
      <x:c r="G88" s="33" t="str">
        <x:v>Observed: activity/notification icon [C0]</x:v>
      </x:c>
      <x:c r="H88" s="33" t="str">
        <x:v>Unverified</x:v>
      </x:c>
      <x:c r="I88" s="33" t="str">
        <x:v>Use an attention inbox for failed, finished and waiting investigations.</x:v>
      </x:c>
      <x:c r="J88" s="33" t="str">
        <x:v>P2</x:v>
      </x:c>
      <x:c r="K88" s="33" t="str">
        <x:v>3 Trusted work</x:v>
      </x:c>
      <x:c r="L88" s="33" t="str">
        <x:v>Run events and notification routing</x:v>
      </x:c>
      <x:c r="M88" s="33" t="str">
        <x:v>Every entry opens relevant run; empty view explains what will appear.</x:v>
      </x:c>
      <x:c r="N88" s="33" t="str">
        <x:v>Verified</x:v>
      </x:c>
      <x:c r="O88" s="33" t="str">
        <x:v>Proposed</x:v>
      </x:c>
      <x:c r="P88" s="33" t="str">
        <x:v>2026-09-16: workspace-shell.json; verify-workspace-tools.cjs 30 checks. Isolated tests passed; no live provider/device call. Owner acceptance pending.</x:v>
      </x:c>
    </x:row>
    <x:row r="89" ht="49" customHeight="1">
      <x:c r="A89" s="35" t="str">
        <x:v>UX-084</x:v>
      </x:c>
      <x:c r="B89" s="28" t="str">
        <x:v>Automation</x:v>
      </x:c>
      <x:c r="C89" s="28" t="str">
        <x:v>Ideas view</x:v>
      </x:c>
      <x:c r="D89" s="28" t="str">
        <x:v>Present</x:v>
      </x:c>
      <x:c r="E89" s="28" t="str">
        <x:v>Ideas can be created, edited, archived and restored with local persistence and save-failure recovery. No seed records.</x:v>
      </x:c>
      <x:c r="F89" s="28" t="str">
        <x:v>Unverified</x:v>
      </x:c>
      <x:c r="G89" s="28" t="str">
        <x:v>Unverified</x:v>
      </x:c>
      <x:c r="H89" s="28" t="str">
        <x:v>Unverified</x:v>
      </x:c>
      <x:c r="I89" s="28" t="str">
        <x:v>Remove from primary navigation until a useful workflow is defined.</x:v>
      </x:c>
      <x:c r="J89" s="28" t="str">
        <x:v>P2</x:v>
      </x:c>
      <x:c r="K89" s="28" t="str">
        <x:v>2 Chat</x:v>
      </x:c>
      <x:c r="L89" s="28" t="str">
        <x:v>Product information architecture</x:v>
      </x:c>
      <x:c r="M89" s="28" t="str">
        <x:v>No dead-end primary navigation; saved user ideas remain recoverable.</x:v>
      </x:c>
      <x:c r="N89" s="28" t="str">
        <x:v>Verified</x:v>
      </x:c>
      <x:c r="O89" s="28" t="str">
        <x:v>Proposed</x:v>
      </x:c>
      <x:c r="P89" s="28" t="str">
        <x:v>2026-09-16: workspace-shell.json; verify-workspace-tools.cjs 30 checks. Isolated tests passed; no live provider/device call. Owner acceptance pending.</x:v>
      </x:c>
    </x:row>
    <x:row r="90" ht="62" customHeight="1">
      <x:c r="A90" s="36" t="str">
        <x:v>UX-085</x:v>
      </x:c>
      <x:c r="B90" s="33" t="str">
        <x:v>Automation</x:v>
      </x:c>
      <x:c r="C90" s="33" t="str">
        <x:v>Goals and task checklist</x:v>
      </x:c>
      <x:c r="D90" s="33" t="str">
        <x:v>Present</x:v>
      </x:c>
      <x:c r="E90" s="33" t="str">
        <x:v>Local goals and checklist steps require real message evidence for completion. Manual completion is labeled, references remain inspectable, and missing references are explicit.</x:v>
      </x:c>
      <x:c r="F90" s="33" t="str">
        <x:v>Unverified</x:v>
      </x:c>
      <x:c r="G90" s="33" t="str">
        <x:v>Documented: goals and long-running work [C5]</x:v>
      </x:c>
      <x:c r="H90" s="33" t="str">
        <x:v>Documented: task list [D2]</x:v>
      </x:c>
      <x:c r="I90" s="33" t="str">
        <x:v>Show outcome, steps, evidence and blockers before promising autonomous goals.</x:v>
      </x:c>
      <x:c r="J90" s="33" t="str">
        <x:v>P2</x:v>
      </x:c>
      <x:c r="K90" s="33" t="str">
        <x:v>3 Trusted work</x:v>
      </x:c>
      <x:c r="L90" s="33" t="str">
        <x:v>Durable task state</x:v>
      </x:c>
      <x:c r="M90" s="33" t="str">
        <x:v>Completed step links to evidence; manual checklist state is not agent execution proof.</x:v>
      </x:c>
      <x:c r="N90" s="33" t="str">
        <x:v>Verified</x:v>
      </x:c>
      <x:c r="O90" s="33" t="str">
        <x:v>Proposed</x:v>
      </x:c>
      <x:c r="P90" s="33" t="str">
        <x:v>2026-09-16: verify-workspace-tools.cjs 30 checks; workspace-shell.json. Isolated tests passed; no live provider/device call. Owner acceptance pending.</x:v>
      </x:c>
    </x:row>
    <x:row r="91" ht="42" customHeight="1">
      <x:c r="A91" s="35" t="str">
        <x:v>UX-086</x:v>
      </x:c>
      <x:c r="B91" s="28" t="str">
        <x:v>Automation</x:v>
      </x:c>
      <x:c r="C91" s="28" t="str">
        <x:v>Scheduled investigations</x:v>
      </x:c>
      <x:c r="D91" s="28" t="str">
        <x:v>Missing</x:v>
      </x:c>
      <x:c r="E91" s="28" t="str">
        <x:v>No user-facing durable scheduling workflow.</x:v>
      </x:c>
      <x:c r="F91" s="28" t="str">
        <x:v>Observed: routine panel and paused routine [G1]</x:v>
      </x:c>
      <x:c r="G91" s="28" t="str">
        <x:v>Documented: schedules and in-chat follow-ups [C7]</x:v>
      </x:c>
      <x:c r="H91" s="28" t="str">
        <x:v>Documented: recurring tasks [D3]</x:v>
      </x:c>
      <x:c r="I91" s="28" t="str">
        <x:v>Add preview, timezone, pause/resume, last/next run and run history.</x:v>
      </x:c>
      <x:c r="J91" s="28" t="str">
        <x:v>P2</x:v>
      </x:c>
      <x:c r="K91" s="28" t="str">
        <x:v>4 Extend</x:v>
      </x:c>
      <x:c r="L91" s="28" t="str">
        <x:v>Scheduler and authorization limits</x:v>
      </x:c>
      <x:c r="M91" s="28" t="str">
        <x:v>Disabled schedule does not run; next-run time is correct; failures are visible.</x:v>
      </x:c>
      <x:c r="N91" s="28" t="str">
        <x:v>Not started</x:v>
      </x:c>
      <x:c r="O91" s="28" t="str">
        <x:v>Proposed</x:v>
      </x:c>
      <x:c r="P91" s="28" t="str">
        <x:v>polished.html; server.cjs; polished.js:434-449; intentgraph/ui/index.html:7-8</x:v>
      </x:c>
    </x:row>
    <x:row r="92" ht="49" customHeight="1">
      <x:c r="A92" s="36" t="str">
        <x:v>UX-087</x:v>
      </x:c>
      <x:c r="B92" s="33" t="str">
        <x:v>Automation</x:v>
      </x:c>
      <x:c r="C92" s="33" t="str">
        <x:v>Completion and attention alerts</x:v>
      </x:c>
      <x:c r="D92" s="33" t="str">
        <x:v>Partial</x:v>
      </x:c>
      <x:c r="E92" s="33" t="str">
        <x:v>Deduplicated local completion notices link to the correct result and respect mute. Broader attention/system alerts remain pending.</x:v>
      </x:c>
      <x:c r="F92" s="33" t="str">
        <x:v>Observed: unread state and notification setting [G1]</x:v>
      </x:c>
      <x:c r="G92" s="33" t="str">
        <x:v>Documented: notifications [C1]</x:v>
      </x:c>
      <x:c r="H92" s="33" t="str">
        <x:v>Unverified</x:v>
      </x:c>
      <x:c r="I92" s="33" t="str">
        <x:v>Notify only for meaningful completion, failure or required input.</x:v>
      </x:c>
      <x:c r="J92" s="33" t="str">
        <x:v>P1</x:v>
      </x:c>
      <x:c r="K92" s="33" t="str">
        <x:v>3 Trusted work</x:v>
      </x:c>
      <x:c r="L92" s="33" t="str">
        <x:v>Notification channel</x:v>
      </x:c>
      <x:c r="M92" s="33" t="str">
        <x:v>Alert opens correct task and respects mute; duplicate events do not spam.</x:v>
      </x:c>
      <x:c r="N92" s="33" t="str">
        <x:v>Implemented</x:v>
      </x:c>
      <x:c r="O92" s="33" t="str">
        <x:v>Proposed</x:v>
      </x:c>
      <x:c r="P92" s="33" t="str">
        <x:v>2026-09-16: alerts.json. Implemented slice verified; full feature remains pending.</x:v>
      </x:c>
    </x:row>
    <x:row r="93" ht="42" customHeight="1">
      <x:c r="A93" s="35" t="str">
        <x:v>UX-088</x:v>
      </x:c>
      <x:c r="B93" s="28" t="str">
        <x:v>Automation</x:v>
      </x:c>
      <x:c r="C93" s="28" t="str">
        <x:v>Plugin discovery and management</x:v>
      </x:c>
      <x:c r="D93" s="28" t="str">
        <x:v>Placeholder</x:v>
      </x:c>
      <x:c r="E93" s="28" t="str">
        <x:v>Network connections surface is not a general plugin lifecycle.</x:v>
      </x:c>
      <x:c r="F93" s="28" t="str">
        <x:v>Observed: Plugins entry [G1]</x:v>
      </x:c>
      <x:c r="G93" s="28" t="str">
        <x:v>Observed: Plugins navigation [C0]</x:v>
      </x:c>
      <x:c r="H93" s="28" t="str">
        <x:v>Documented: plugins/connectors [D1]</x:v>
      </x:c>
      <x:c r="I93" s="28" t="str">
        <x:v>Prioritize real network adapters; expose install/connect/capability state accurately.</x:v>
      </x:c>
      <x:c r="J93" s="28" t="str">
        <x:v>P2</x:v>
      </x:c>
      <x:c r="K93" s="28" t="str">
        <x:v>4 Extend</x:v>
      </x:c>
      <x:c r="L93" s="28" t="str">
        <x:v>Plugin/adaptor registry</x:v>
      </x:c>
      <x:c r="M93" s="28" t="str">
        <x:v>Unavailable tool cannot be selected; permissions and connection health are visible.</x:v>
      </x:c>
      <x:c r="N93" s="28" t="str">
        <x:v>Not started</x:v>
      </x:c>
      <x:c r="O93" s="28" t="str">
        <x:v>Proposed</x:v>
      </x:c>
      <x:c r="P93" s="28" t="str">
        <x:v>polished.html plugins pane; polished.js:434-449; intentgraph/ui/index.html:7-8</x:v>
      </x:c>
    </x:row>
    <x:row r="94" ht="42" customHeight="1">
      <x:c r="A94" s="36" t="str">
        <x:v>UX-089</x:v>
      </x:c>
      <x:c r="B94" s="33" t="str">
        <x:v>Automation</x:v>
      </x:c>
      <x:c r="C94" s="33" t="str">
        <x:v>Skills and reusable workflows</x:v>
      </x:c>
      <x:c r="D94" s="33" t="str">
        <x:v>Partial</x:v>
      </x:c>
      <x:c r="E94" s="33" t="str">
        <x:v>Coworker documents exist; no complete skills browser/workflow picker.</x:v>
      </x:c>
      <x:c r="F94" s="33" t="str">
        <x:v>Unverified</x:v>
      </x:c>
      <x:c r="G94" s="33" t="str">
        <x:v>Documented: skills and plugins [C6]</x:v>
      </x:c>
      <x:c r="H94" s="33" t="str">
        <x:v>Documented: skills/plugins [D1]</x:v>
      </x:c>
      <x:c r="I94" s="33" t="str">
        <x:v>Add saved diagnostic procedures with purpose, inputs and evidence requirements.</x:v>
      </x:c>
      <x:c r="J94" s="33" t="str">
        <x:v>P2</x:v>
      </x:c>
      <x:c r="K94" s="33" t="str">
        <x:v>4 Extend</x:v>
      </x:c>
      <x:c r="L94" s="33" t="str">
        <x:v>Workflow schema/runtime</x:v>
      </x:c>
      <x:c r="M94" s="33" t="str">
        <x:v>Selected procedure identifies required access; version used is traceable.</x:v>
      </x:c>
      <x:c r="N94" s="33" t="str">
        <x:v>Not started</x:v>
      </x:c>
      <x:c r="O94" s="33" t="str">
        <x:v>Proposed</x:v>
      </x:c>
      <x:c r="P94" s="33" t="str">
        <x:v>polished.js documents; runtime; polished.js:434-449; intentgraph/ui/index.html:7-8</x:v>
      </x:c>
    </x:row>
    <x:row r="95" ht="62" customHeight="1">
      <x:c r="A95" s="35" t="str">
        <x:v>UX-090</x:v>
      </x:c>
      <x:c r="B95" s="28" t="str">
        <x:v>Automation</x:v>
      </x:c>
      <x:c r="C95" s="28" t="str">
        <x:v>Mobile or remote handoff</x:v>
      </x:c>
      <x:c r="D95" s="28" t="str">
        <x:v>Missing</x:v>
      </x:c>
      <x:c r="E95" s="28" t="str">
        <x:v>Local browser prototype and localhost runtime.</x:v>
      </x:c>
      <x:c r="F95" s="28" t="str">
        <x:v>Unverified</x:v>
      </x:c>
      <x:c r="G95" s="28" t="str">
        <x:v>Documented: remote work [C5]</x:v>
      </x:c>
      <x:c r="H95" s="28" t="str">
        <x:v>Documented: Dispatch/remote sessions [D1]</x:v>
      </x:c>
      <x:c r="I95" s="28" t="str">
        <x:v>Defer until identity, remote runtime and resumability are implemented.</x:v>
      </x:c>
      <x:c r="J95" s="28" t="str">
        <x:v>P3</x:v>
      </x:c>
      <x:c r="K95" s="28" t="str">
        <x:v>4 Extend</x:v>
      </x:c>
      <x:c r="L95" s="28" t="str">
        <x:v>2026-09-16 user decision: keep cross-device history, accounts/customer isolation and remote handoff pending; finish local features first.</x:v>
      </x:c>
      <x:c r="M95" s="28" t="str">
        <x:v>Handoff preserves context and permissions without concurrent duplicate execution.</x:v>
      </x:c>
      <x:c r="N95" s="28" t="str">
        <x:v>Deferred</x:v>
      </x:c>
      <x:c r="O95" s="28" t="str">
        <x:v>Proposed</x:v>
      </x:c>
      <x:c r="P95" s="28" t="str">
        <x:v>architecture.json; polished.js:434-449; intentgraph/ui/index.html:7-8</x:v>
      </x:c>
    </x:row>
    <x:row r="96" ht="49" customHeight="1">
      <x:c r="A96" s="36" t="str">
        <x:v>UX-091</x:v>
      </x:c>
      <x:c r="B96" s="33" t="str">
        <x:v>Quality</x:v>
      </x:c>
      <x:c r="C96" s="33" t="str">
        <x:v>Keyboard-only operation</x:v>
      </x:c>
      <x:c r="D96" s="33" t="str">
        <x:v>Present</x:v>
      </x:c>
      <x:c r="E96" s="33" t="str">
        <x:v>Keyboard navigation, menus, focus visibility, Escape and pane controls passed local checks. File editor uses named native controls.</x:v>
      </x:c>
      <x:c r="F96" s="33" t="str">
        <x:v>Unverified</x:v>
      </x:c>
      <x:c r="G96" s="33" t="str">
        <x:v>Documented: documented shortcuts [C4]</x:v>
      </x:c>
      <x:c r="H96" s="33" t="str">
        <x:v>Documented: keyboard shortcuts [D2]</x:v>
      </x:c>
      <x:c r="I96" s="33" t="str">
        <x:v>Verify every primary chat/profile/menu workflow without a mouse.</x:v>
      </x:c>
      <x:c r="J96" s="33" t="str">
        <x:v>P1</x:v>
      </x:c>
      <x:c r="K96" s="33" t="str">
        <x:v>2 Chat</x:v>
      </x:c>
      <x:c r="L96" s="33" t="str">
        <x:v>Interaction audit</x:v>
      </x:c>
      <x:c r="M96" s="33" t="str">
        <x:v>Visible focus, logical order, no traps; Escape returns focus correctly.</x:v>
      </x:c>
      <x:c r="N96" s="33" t="str">
        <x:v>Verified</x:v>
      </x:c>
      <x:c r="O96" s="33" t="str">
        <x:v>Proposed</x:v>
      </x:c>
      <x:c r="P96" s="33" t="str">
        <x:v>2026-09-16: accessibility-results.json; pane-controls.json. Local isolated checks passed; owner acceptance separate.</x:v>
      </x:c>
    </x:row>
    <x:row r="97" ht="49" customHeight="1">
      <x:c r="A97" s="35" t="str">
        <x:v>UX-092</x:v>
      </x:c>
      <x:c r="B97" s="28" t="str">
        <x:v>Quality</x:v>
      </x:c>
      <x:c r="C97" s="28" t="str">
        <x:v>Accessible names and state</x:v>
      </x:c>
      <x:c r="D97" s="28" t="str">
        <x:v>Present</x:v>
      </x:c>
      <x:c r="E97" s="28" t="str">
        <x:v>Accessible labels, selected states and active-run role/status verified with held mocked NDJSON; mode picker disables during a run.</x:v>
      </x:c>
      <x:c r="F97" s="28" t="str">
        <x:v>Observed: reaction toggle labels observed [G1]</x:v>
      </x:c>
      <x:c r="G97" s="28" t="str">
        <x:v>Unverified</x:v>
      </x:c>
      <x:c r="H97" s="28" t="str">
        <x:v>Unverified</x:v>
      </x:c>
      <x:c r="I97" s="28" t="str">
        <x:v>Use accurate roles, names and selected/busy states.</x:v>
      </x:c>
      <x:c r="J97" s="28" t="str">
        <x:v>P1</x:v>
      </x:c>
      <x:c r="K97" s="28" t="str">
        <x:v>2 Chat</x:v>
      </x:c>
      <x:c r="L97" s="28" t="str">
        <x:v>Accessibility audit</x:v>
      </x:c>
      <x:c r="M97" s="28" t="str">
        <x:v>Screen reader identifies each action, selected coworker and active run state correctly.</x:v>
      </x:c>
      <x:c r="N97" s="28" t="str">
        <x:v>Verified</x:v>
      </x:c>
      <x:c r="O97" s="28" t="str">
        <x:v>Proposed</x:v>
      </x:c>
      <x:c r="P97" s="28" t="str">
        <x:v>2026-09-16: accessibility-results.json UX092; no full WCAG conformance claim. Local isolated checks passed; owner acceptance separate.</x:v>
      </x:c>
    </x:row>
    <x:row r="98" ht="62" customHeight="1">
      <x:c r="A98" s="36" t="str">
        <x:v>UX-093</x:v>
      </x:c>
      <x:c r="B98" s="33" t="str">
        <x:v>Quality</x:v>
      </x:c>
      <x:c r="C98" s="33" t="str">
        <x:v>Contrast, text scaling and reflow</x:v>
      </x:c>
      <x:c r="D98" s="33" t="str">
        <x:v>Present</x:v>
      </x:c>
      <x:c r="E98" s="33" t="str">
        <x:v>Measured dark/light text contrast and tested 200% computed font scaling with usable controls. Narrow content reflows in tested Chromium views.</x:v>
      </x:c>
      <x:c r="F98" s="33" t="str">
        <x:v>Unverified</x:v>
      </x:c>
      <x:c r="G98" s="33" t="str">
        <x:v>Unverified</x:v>
      </x:c>
      <x:c r="H98" s="33" t="str">
        <x:v>Unverified</x:v>
      </x:c>
      <x:c r="I98" s="33" t="str">
        <x:v>Check selected WCAG 2.2 AA criteria and common desktop zoom levels.</x:v>
      </x:c>
      <x:c r="J98" s="33" t="str">
        <x:v>P1</x:v>
      </x:c>
      <x:c r="K98" s="33" t="str">
        <x:v>2 Chat</x:v>
      </x:c>
      <x:c r="L98" s="33" t="str">
        <x:v>Theme/viewport audit</x:v>
      </x:c>
      <x:c r="M98" s="33" t="str">
        <x:v>At 200% text scale controls remain usable; contrast measured; narrow content reflows.</x:v>
      </x:c>
      <x:c r="N98" s="33" t="str">
        <x:v>Verified</x:v>
      </x:c>
      <x:c r="O98" s="33" t="str">
        <x:v>Investigate</x:v>
      </x:c>
      <x:c r="P98" s="33" t="str">
        <x:v>2026-09-16: accessibility-results.json; scoped checks, not a full WCAG conformance claim. Isolated tests passed; no live provider/device call. Owner acceptance pending.</x:v>
      </x:c>
    </x:row>
    <x:row r="99" ht="49" customHeight="1">
      <x:c r="A99" s="35" t="str">
        <x:v>UX-094</x:v>
      </x:c>
      <x:c r="B99" s="28" t="str">
        <x:v>Quality</x:v>
      </x:c>
      <x:c r="C99" s="28" t="str">
        <x:v>Reduced motion</x:v>
      </x:c>
      <x:c r="D99" s="28" t="str">
        <x:v>Present</x:v>
      </x:c>
      <x:c r="E99" s="28" t="str">
        <x:v>Reduced-motion mode cancels decorative animation while state changes remain visible. Forced-colors scrollbar fallback verified.</x:v>
      </x:c>
      <x:c r="F99" s="28" t="str">
        <x:v>Unverified</x:v>
      </x:c>
      <x:c r="G99" s="28" t="str">
        <x:v>Unverified</x:v>
      </x:c>
      <x:c r="H99" s="28" t="str">
        <x:v>Unverified</x:v>
      </x:c>
      <x:c r="I99" s="28" t="str">
        <x:v>Respect reduced motion without hiding progress or breaking focus.</x:v>
      </x:c>
      <x:c r="J99" s="28" t="str">
        <x:v>P2</x:v>
      </x:c>
      <x:c r="K99" s="28" t="str">
        <x:v>2 Chat</x:v>
      </x:c>
      <x:c r="L99" s="28" t="str">
        <x:v>Motion preference checks</x:v>
      </x:c>
      <x:c r="M99" s="28" t="str">
        <x:v>Motion-reduced mode preserves all state changes and cancels decorative animation.</x:v>
      </x:c>
      <x:c r="N99" s="28" t="str">
        <x:v>Verified</x:v>
      </x:c>
      <x:c r="O99" s="28" t="str">
        <x:v>Proposed</x:v>
      </x:c>
      <x:c r="P99" s="28" t="str">
        <x:v>2026-09-16: accessibility-results.json. Isolated tests passed; no live provider/device call. Owner acceptance pending.</x:v>
      </x:c>
    </x:row>
    <x:row r="100" ht="49" customHeight="1">
      <x:c r="A100" s="36" t="str">
        <x:v>UX-095</x:v>
      </x:c>
      <x:c r="B100" s="33" t="str">
        <x:v>Quality</x:v>
      </x:c>
      <x:c r="C100" s="33" t="str">
        <x:v>Hover, focus and touch menus</x:v>
      </x:c>
      <x:c r="D100" s="33" t="str">
        <x:v>Present</x:v>
      </x:c>
      <x:c r="E100" s="33" t="str">
        <x:v>Pointer, touch and keyboard menus remain within viewport. Arrow navigation and Escape focus return pass at tested widths.</x:v>
      </x:c>
      <x:c r="F100" s="33" t="str">
        <x:v>Observed: compact contextual actions [G1]</x:v>
      </x:c>
      <x:c r="G100" s="33" t="str">
        <x:v>Unverified</x:v>
      </x:c>
      <x:c r="H100" s="33" t="str">
        <x:v>Unverified</x:v>
      </x:c>
      <x:c r="I100" s="33" t="str">
        <x:v>Keep actions discoverable by keyboard and touch without persistent clutter.</x:v>
      </x:c>
      <x:c r="J100" s="33" t="str">
        <x:v>P1</x:v>
      </x:c>
      <x:c r="K100" s="33" t="str">
        <x:v>2 Chat</x:v>
      </x:c>
      <x:c r="L100" s="33" t="str">
        <x:v>UX-005</x:v>
      </x:c>
      <x:c r="M100" s="33" t="str">
        <x:v>Menus stay within viewport, remain operable on hover, close predictably and restore focus.</x:v>
      </x:c>
      <x:c r="N100" s="33" t="str">
        <x:v>Verified</x:v>
      </x:c>
      <x:c r="O100" s="33" t="str">
        <x:v>Proposed</x:v>
      </x:c>
      <x:c r="P100" s="33" t="str">
        <x:v>2026-09-16: accessibility-results.json. Isolated tests passed; no live provider/device call. Owner acceptance pending.</x:v>
      </x:c>
    </x:row>
    <x:row r="101" ht="49" customHeight="1">
      <x:c r="A101" s="35" t="str">
        <x:v>UX-096</x:v>
      </x:c>
      <x:c r="B101" s="28" t="str">
        <x:v>Quality</x:v>
      </x:c>
      <x:c r="C101" s="28" t="str">
        <x:v>Responsive pane layout</x:v>
      </x:c>
      <x:c r="D101" s="28" t="str">
        <x:v>Present</x:v>
      </x:c>
      <x:c r="E101" s="28" t="str">
        <x:v>Collapsed sidebar overflow corrected. Chat, panes and menus retain controls at 320/390/760/1440px and with 200% text stress.</x:v>
      </x:c>
      <x:c r="F101" s="28" t="str">
        <x:v>Observed: profile pane reduces chat width [G1]</x:v>
      </x:c>
      <x:c r="G101" s="28" t="str">
        <x:v>Observed: resizable split workspace [C0]</x:v>
      </x:c>
      <x:c r="H101" s="28" t="str">
        <x:v>Documented: pane arrangement [D1]</x:v>
      </x:c>
      <x:c r="I101" s="28" t="str">
        <x:v>Keep composer and selected context usable with sidebar and evidence pane open.</x:v>
      </x:c>
      <x:c r="J101" s="28" t="str">
        <x:v>P1</x:v>
      </x:c>
      <x:c r="K101" s="28" t="str">
        <x:v>2 Chat</x:v>
      </x:c>
      <x:c r="L101" s="28" t="str">
        <x:v>Overflow containment and pane layout</x:v>
      </x:c>
      <x:c r="M101" s="28" t="str">
        <x:v>Desktop, narrow window and zoomed layouts retain controls; deliberate table scroll is contained.</x:v>
      </x:c>
      <x:c r="N101" s="28" t="str">
        <x:v>Verified</x:v>
      </x:c>
      <x:c r="O101" s="28" t="str">
        <x:v>Proposed</x:v>
      </x:c>
      <x:c r="P101" s="28" t="str">
        <x:v>2026-09-16: accessibility-results.json. Isolated tests passed; no live provider/device call. Owner acceptance pending.</x:v>
      </x:c>
    </x:row>
    <x:row r="102" ht="42" customHeight="1">
      <x:c r="A102" s="36" t="str">
        <x:v>UX-097</x:v>
      </x:c>
      <x:c r="B102" s="33" t="str">
        <x:v>Quality</x:v>
      </x:c>
      <x:c r="C102" s="33" t="str">
        <x:v>Empty and unavailable states</x:v>
      </x:c>
      <x:c r="D102" s="33" t="str">
        <x:v>Partial</x:v>
      </x:c>
      <x:c r="E102" s="33" t="str">
        <x:v>Feed empty, artifacts sample-only, Settings not-connected states exist.</x:v>
      </x:c>
      <x:c r="F102" s="33" t="str">
        <x:v>Unverified</x:v>
      </x:c>
      <x:c r="G102" s="33" t="str">
        <x:v>Unverified</x:v>
      </x:c>
      <x:c r="H102" s="33" t="str">
        <x:v>Unverified</x:v>
      </x:c>
      <x:c r="I102" s="33" t="str">
        <x:v>Explain what to do next and remove dead-end primary entries.</x:v>
      </x:c>
      <x:c r="J102" s="33" t="str">
        <x:v>P1</x:v>
      </x:c>
      <x:c r="K102" s="33" t="str">
        <x:v>2 Chat</x:v>
      </x:c>
      <x:c r="L102" s="33" t="str">
        <x:v>Capability inventory</x:v>
      </x:c>
      <x:c r="M102" s="33" t="str">
        <x:v>Every visible action has a real result or an accurate reason it is unavailable.</x:v>
      </x:c>
      <x:c r="N102" s="33" t="str">
        <x:v>Not started</x:v>
      </x:c>
      <x:c r="O102" s="33" t="str">
        <x:v>Proposed</x:v>
      </x:c>
      <x:c r="P102" s="33" t="str">
        <x:v>A0 Feed, Artifacts, Settings; polished.css:45-64,116-143,325-329; polished.js:19-58,437-449</x:v>
      </x:c>
    </x:row>
    <x:row r="103" ht="49" customHeight="1">
      <x:c r="A103" s="35" t="str">
        <x:v>UX-098</x:v>
      </x:c>
      <x:c r="B103" s="28" t="str">
        <x:v>Quality</x:v>
      </x:c>
      <x:c r="C103" s="28" t="str">
        <x:v>Recoverable errors</x:v>
      </x:c>
      <x:c r="D103" s="28" t="str">
        <x:v>Partial</x:v>
      </x:c>
      <x:c r="E103" s="28" t="str">
        <x:v>Request errors surfaced; broad failure UX needs end-to-end checks.</x:v>
      </x:c>
      <x:c r="F103" s="28" t="str">
        <x:v>Unverified</x:v>
      </x:c>
      <x:c r="G103" s="28" t="str">
        <x:v>Unverified</x:v>
      </x:c>
      <x:c r="H103" s="28" t="str">
        <x:v>Unverified</x:v>
      </x:c>
      <x:c r="I103" s="28" t="str">
        <x:v>Preserve draft/evidence and offer relevant retry, reconnect or inspect action.</x:v>
      </x:c>
      <x:c r="J103" s="28" t="str">
        <x:v>P1</x:v>
      </x:c>
      <x:c r="K103" s="28" t="str">
        <x:v>3 Trusted work</x:v>
      </x:c>
      <x:c r="L103" s="28" t="str">
        <x:v>Structured errors</x:v>
      </x:c>
      <x:c r="M103" s="28" t="str">
        <x:v>Offline, timeout, cancellation and provider failure are distinct and recoverable.</x:v>
      </x:c>
      <x:c r="N103" s="28" t="str">
        <x:v>Not started</x:v>
      </x:c>
      <x:c r="O103" s="28" t="str">
        <x:v>Proposed</x:v>
      </x:c>
      <x:c r="P103" s="28" t="str">
        <x:v>polished.js request handlers; server.cjs; polished.css:45-64,116-143,325-329; polished.js:19-58,437-449</x:v>
      </x:c>
    </x:row>
    <x:row r="104" ht="42" customHeight="1">
      <x:c r="A104" s="36" t="str">
        <x:v>UX-099</x:v>
      </x:c>
      <x:c r="B104" s="33" t="str">
        <x:v>Quality</x:v>
      </x:c>
      <x:c r="C104" s="33" t="str">
        <x:v>Long transcript performance</x:v>
      </x:c>
      <x:c r="D104" s="33" t="str">
        <x:v>Not verified</x:v>
      </x:c>
      <x:c r="E104" s="33" t="str">
        <x:v>No large-history performance result established.</x:v>
      </x:c>
      <x:c r="F104" s="33" t="str">
        <x:v>Unverified</x:v>
      </x:c>
      <x:c r="G104" s="33" t="str">
        <x:v>Unverified</x:v>
      </x:c>
      <x:c r="H104" s="33" t="str">
        <x:v>Unverified</x:v>
      </x:c>
      <x:c r="I104" s="33" t="str">
        <x:v>Measure before adding virtualization; preserve search and evidence anchors.</x:v>
      </x:c>
      <x:c r="J104" s="33" t="str">
        <x:v>P2</x:v>
      </x:c>
      <x:c r="K104" s="33" t="str">
        <x:v>3 Trusted work</x:v>
      </x:c>
      <x:c r="L104" s="33" t="str">
        <x:v>Large transcript fixture</x:v>
      </x:c>
      <x:c r="M104" s="33" t="str">
        <x:v>Long chat stays responsive and scrolling does not lose selection or anchors.</x:v>
      </x:c>
      <x:c r="N104" s="33" t="str">
        <x:v>Not started</x:v>
      </x:c>
      <x:c r="O104" s="33" t="str">
        <x:v>Investigate</x:v>
      </x:c>
      <x:c r="P104" s="33" t="str">
        <x:v>Performance check not run; polished.css:45-64,116-143,325-329; polished.js:19-58,437-449</x:v>
      </x:c>
    </x:row>
    <x:row r="105" ht="42" customHeight="1">
      <x:c r="A105" s="35" t="str">
        <x:v>UX-100</x:v>
      </x:c>
      <x:c r="B105" s="28" t="str">
        <x:v>Quality</x:v>
      </x:c>
      <x:c r="C105" s="28" t="str">
        <x:v>First-run onboarding</x:v>
      </x:c>
      <x:c r="D105" s="28" t="str">
        <x:v>Partial</x:v>
      </x:c>
      <x:c r="E105" s="28" t="str">
        <x:v>Coworker creation and welcome exist; setup remains fragmented.</x:v>
      </x:c>
      <x:c r="F105" s="28" t="str">
        <x:v>Observed: bot-first chat entry [G1]</x:v>
      </x:c>
      <x:c r="G105" s="28" t="str">
        <x:v>Observed: new chat/project entry [C0]</x:v>
      </x:c>
      <x:c r="H105" s="28" t="str">
        <x:v>Documented: environment, folder, model, mode setup [D1]</x:v>
      </x:c>
      <x:c r="I105" s="28" t="str">
        <x:v>Guide user from provider/connection readiness to first useful read-only investigation.</x:v>
      </x:c>
      <x:c r="J105" s="28" t="str">
        <x:v>P1</x:v>
      </x:c>
      <x:c r="K105" s="28" t="str">
        <x:v>3 Trusted work</x:v>
      </x:c>
      <x:c r="L105" s="28" t="str">
        <x:v>Provider and connection state</x:v>
      </x:c>
      <x:c r="M105" s="28" t="str">
        <x:v>A new user understands required setup, selected device and next safe action.</x:v>
      </x:c>
      <x:c r="N105" s="28" t="str">
        <x:v>Not started</x:v>
      </x:c>
      <x:c r="O105" s="28" t="str">
        <x:v>Proposed</x:v>
      </x:c>
      <x:c r="P105" s="28" t="str">
        <x:v>A0; polished.js initialization; polished.css:45-64,116-143,325-329; polished.js:19-58,437-449</x:v>
      </x:c>
    </x:row>
    <x:row r="106" ht="101" customHeight="1">
      <x:c r="A106" s="36" t="str">
        <x:v>UX-101</x:v>
      </x:c>
      <x:c r="B106" s="33" t="str">
        <x:v>Quality</x:v>
      </x:c>
      <x:c r="C106" s="33" t="str">
        <x:v>Saved state and migration integrity</x:v>
      </x:c>
      <x:c r="D106" s="33" t="str">
        <x:v>Partial</x:v>
      </x:c>
      <x:c r="E106" s="33" t="str">
        <x:v>Versioned migration and backup exist; production storage reliability remains limited.</x:v>
      </x:c>
      <x:c r="F106" s="33" t="str">
        <x:v>Unverified</x:v>
      </x:c>
      <x:c r="G106" s="33" t="str">
        <x:v>Unverified</x:v>
      </x:c>
      <x:c r="H106" s="33" t="str">
        <x:v>Unverified</x:v>
      </x:c>
      <x:c r="I106" s="33" t="str">
        <x:v>Keep explicit schema versions and recoverable migrations.</x:v>
      </x:c>
      <x:c r="J106" s="33" t="str">
        <x:v>P1</x:v>
      </x:c>
      <x:c r="K106" s="33" t="str">
        <x:v>Keep</x:v>
      </x:c>
      <x:c r="L106" s="33" t="str">
        <x:v>Migration regression</x:v>
      </x:c>
      <x:c r="M106" s="33" t="str">
        <x:v>Chats, drafts, queued work, avatars and revert history survive migration exactly.</x:v>
      </x:c>
      <x:c r="N106" s="33" t="str">
        <x:v>Verified</x:v>
      </x:c>
      <x:c r="O106" s="33" t="str">
        <x:v>Preserve</x:v>
      </x:c>
      <x:c r="P106" s="33" t="str">
        <x:v>2026-09-16: preservation audit PASS. .intentgraph/runtime/verify-backup-schema.cjs:4-28 (current six backup/transaction/size tests); .intentgraph/evidence/ux-fixes-2026-09-15/local-data-ui.json (roundtrip/Add/replace/reload); .intentgraph/evidence/ux-fixes-2026-09-15/history-regression.json (revert/avatar/history) Owner acceptance remains separate.</x:v>
      </x:c>
    </x:row>
    <x:row r="107" ht="49" customHeight="1">
      <x:c r="A107" s="35" t="str">
        <x:v>UX-102</x:v>
      </x:c>
      <x:c r="B107" s="28" t="str">
        <x:v>Quality</x:v>
      </x:c>
      <x:c r="C107" s="28" t="str">
        <x:v>Release identity and diagnostics</x:v>
      </x:c>
      <x:c r="D107" s="28" t="str">
        <x:v>Present</x:v>
      </x:c>
      <x:c r="E107" s="28" t="str">
        <x:v>About identifies the loaded build and offers a user-triggered local configuration snapshot and safe support copy. Unverified reachability is explicit.</x:v>
      </x:c>
      <x:c r="F107" s="28" t="str">
        <x:v>Unverified</x:v>
      </x:c>
      <x:c r="G107" s="28" t="str">
        <x:v>Unverified</x:v>
      </x:c>
      <x:c r="H107" s="28" t="str">
        <x:v>Unverified</x:v>
      </x:c>
      <x:c r="I107" s="28" t="str">
        <x:v>Expose build version, connection status and safe diagnostics export.</x:v>
      </x:c>
      <x:c r="J107" s="28" t="str">
        <x:v>P2</x:v>
      </x:c>
      <x:c r="K107" s="28" t="str">
        <x:v>3 Trusted work</x:v>
      </x:c>
      <x:c r="L107" s="28" t="str">
        <x:v>Connection diagnostics must read the current backend/provider state without exposing credentials.</x:v>
      </x:c>
      <x:c r="M107" s="28" t="str">
        <x:v>Support report identifies exact build and contains no provider keys.</x:v>
      </x:c>
      <x:c r="N107" s="28" t="str">
        <x:v>Verified</x:v>
      </x:c>
      <x:c r="O107" s="28" t="str">
        <x:v>Proposed</x:v>
      </x:c>
      <x:c r="P107" s="28" t="str">
        <x:v>2026-09-16: diagnostics-ui.json; verify-chat-read-api.cjs. Isolated tests passed; no live provider/device call. Owner acceptance pending.</x:v>
      </x:c>
    </x:row>
    <x:row r="108" ht="75" customHeight="1">
      <x:c r="A108" s="36" t="str">
        <x:v>UX-103</x:v>
      </x:c>
      <x:c r="B108" s="33" t="str">
        <x:v>Quality</x:v>
      </x:c>
      <x:c r="C108" s="33" t="str">
        <x:v>Consistent terminology and icon system</x:v>
      </x:c>
      <x:c r="D108" s="33" t="str">
        <x:v>Present</x:v>
      </x:c>
      <x:c r="E108" s="33" t="str">
        <x:v>Coworker, Conversation and Evidence labels aligned across navigation, profile, Settings and composer; storage schema retained.</x:v>
      </x:c>
      <x:c r="F108" s="33" t="str">
        <x:v>Observed: bot identity consistent in inspected flow [G1]</x:v>
      </x:c>
      <x:c r="G108" s="33" t="str">
        <x:v>Observed: task/project labels [C0]</x:v>
      </x:c>
      <x:c r="H108" s="33" t="str">
        <x:v>Documented: session/environment labels [D1]</x:v>
      </x:c>
      <x:c r="I108" s="33" t="str">
        <x:v>Use Coworker, Conversation and Evidence consistently for network users.</x:v>
      </x:c>
      <x:c r="J108" s="33" t="str">
        <x:v>P1</x:v>
      </x:c>
      <x:c r="K108" s="33" t="str">
        <x:v>2 Chat</x:v>
      </x:c>
      <x:c r="L108" s="33" t="str">
        <x:v>UX-007</x:v>
      </x:c>
      <x:c r="M108" s="33" t="str">
        <x:v>Same object keeps same name across sidebar, profile, Settings and composer.</x:v>
      </x:c>
      <x:c r="N108" s="33" t="str">
        <x:v>Verified</x:v>
      </x:c>
      <x:c r="O108" s="33" t="str">
        <x:v>Agreed</x:v>
      </x:c>
      <x:c r="P108" s="33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109" ht="62" customHeight="1">
      <x:c r="A109" s="35" t="str">
        <x:v>UX-104</x:v>
      </x:c>
      <x:c r="B109" s="28" t="str">
        <x:v>Quality</x:v>
      </x:c>
      <x:c r="C109" s="28" t="str">
        <x:v>Multiple customer isolation UX</x:v>
      </x:c>
      <x:c r="D109" s="28" t="str">
        <x:v>Missing</x:v>
      </x:c>
      <x:c r="E109" s="28" t="str">
        <x:v>No authenticated customer workspaces or access control service.</x:v>
      </x:c>
      <x:c r="F109" s="28" t="str">
        <x:v>Unverified</x:v>
      </x:c>
      <x:c r="G109" s="28" t="str">
        <x:v>Unverified</x:v>
      </x:c>
      <x:c r="H109" s="28" t="str">
        <x:v>Unverified</x:v>
      </x:c>
      <x:c r="I109" s="28" t="str">
        <x:v>Treat as later product architecture; never imply current shared-team security.</x:v>
      </x:c>
      <x:c r="J109" s="28" t="str">
        <x:v>P1</x:v>
      </x:c>
      <x:c r="K109" s="28" t="str">
        <x:v>4 Extend</x:v>
      </x:c>
      <x:c r="L109" s="28" t="str">
        <x:v>2026-09-16 user decision: keep cross-device history, accounts/customer isolation and remote handoff pending; finish local features first.</x:v>
      </x:c>
      <x:c r="M109" s="28" t="str">
        <x:v>Wrong-customer data is inaccessible; workspace/access context is explicit.</x:v>
      </x:c>
      <x:c r="N109" s="28" t="str">
        <x:v>Deferred</x:v>
      </x:c>
      <x:c r="O109" s="28" t="str">
        <x:v>Proposed</x:v>
      </x:c>
      <x:c r="P109" s="28" t="str">
        <x:v>architecture.json; polished.css:45-64,116-143,325-329; polished.js:19-58,437-449</x:v>
      </x:c>
    </x:row>
    <x:row r="110" ht="42" customHeight="1">
      <x:c r="A110" s="36" t="str">
        <x:v>UX-105</x:v>
      </x:c>
      <x:c r="B110" s="33" t="str">
        <x:v>Quality</x:v>
      </x:c>
      <x:c r="C110" s="33" t="str">
        <x:v>Professional finish acceptance</x:v>
      </x:c>
      <x:c r="D110" s="33" t="str">
        <x:v>Not verified</x:v>
      </x:c>
      <x:c r="E110" s="33" t="str">
        <x:v>Automated checks previously passed; owner rejected specific UI decisions.</x:v>
      </x:c>
      <x:c r="F110" s="33" t="str">
        <x:v>Unverified</x:v>
      </x:c>
      <x:c r="G110" s="33" t="str">
        <x:v>Unverified</x:v>
      </x:c>
      <x:c r="H110" s="33" t="str">
        <x:v>Unverified</x:v>
      </x:c>
      <x:c r="I110" s="33" t="str">
        <x:v>Verify agreed reference behaviors and complete flows before marking accepted.</x:v>
      </x:c>
      <x:c r="J110" s="33" t="str">
        <x:v>P1</x:v>
      </x:c>
      <x:c r="K110" s="33" t="str">
        <x:v>2 Chat</x:v>
      </x:c>
      <x:c r="L110" s="33" t="str">
        <x:v>All phase 1 corrections</x:v>
      </x:c>
      <x:c r="M110" s="33" t="str">
        <x:v>Code check, rendered behavior and owner acceptance have separate recorded outcomes.</x:v>
      </x:c>
      <x:c r="N110" s="33" t="str">
        <x:v>Not started</x:v>
      </x:c>
      <x:c r="O110" s="33" t="str">
        <x:v>Investigate</x:v>
      </x:c>
      <x:c r="P110" s="33" t="str">
        <x:v>User feedback; current audit; polished.css:45-64,116-143,325-329; polished.js:19-58,437-449</x:v>
      </x:c>
    </x:row>
    <x:row r="111" ht="88" customHeight="1">
      <x:c r="A111" s="35" t="str">
        <x:v>UX-106</x:v>
      </x:c>
      <x:c r="B111" s="28" t="str">
        <x:v>Network</x:v>
      </x:c>
      <x:c r="C111" s="28" t="str">
        <x:v>Live inventory and read-only diagnostics</x:v>
      </x:c>
      <x:c r="D111" s="28" t="str">
        <x:v>Present</x:v>
      </x:c>
      <x:c r="E111" s="28" t="str">
        <x:v>Real inventory and allowlisted exact-host diagnostic path exist.</x:v>
      </x:c>
      <x:c r="F111" s="28" t="str">
        <x:v>Unverified</x:v>
      </x:c>
      <x:c r="G111" s="28" t="str">
        <x:v>Unverified</x:v>
      </x:c>
      <x:c r="H111" s="28" t="str">
        <x:v>Unverified</x:v>
      </x:c>
      <x:c r="I111" s="28" t="str">
        <x:v>Keep exact target resolution and bounded output visible.</x:v>
      </x:c>
      <x:c r="J111" s="28" t="str">
        <x:v>P1</x:v>
      </x:c>
      <x:c r="K111" s="28" t="str">
        <x:v>Keep</x:v>
      </x:c>
      <x:c r="L111" s="28" t="str">
        <x:v>Adapter regression</x:v>
      </x:c>
      <x:c r="M111" s="28" t="str">
        <x:v>Only supported read-only commands execute; failed transport cannot be shown as healthy.</x:v>
      </x:c>
      <x:c r="N111" s="28" t="str">
        <x:v>Verified</x:v>
      </x:c>
      <x:c r="O111" s="28" t="str">
        <x:v>Preserve</x:v>
      </x:c>
      <x:c r="P111" s="28" t="str">
        <x:v>2026-09-16: preservation audit PASS. 25/25 local fixture tests passed: agent-runtime/chat-runtime/network-execution/sandbox-routes/steering suites (allowlist, exact target, failed transport, read-only origin/header); no provider/device calls Owner acceptance remains separate.</x:v>
      </x:c>
    </x:row>
    <x:row r="112" ht="62" customHeight="1">
      <x:c r="A112" s="36" t="str">
        <x:v>UX-107</x:v>
      </x:c>
      <x:c r="B112" s="33" t="str">
        <x:v>Network</x:v>
      </x:c>
      <x:c r="C112" s="33" t="str">
        <x:v>Remote command cancellation limits</x:v>
      </x:c>
      <x:c r="D112" s="33" t="str">
        <x:v>Present</x:v>
      </x:c>
      <x:c r="E112" s="33" t="str">
        <x:v>Cancellation stops local fetch and propagates to the server; already submitted remote work is explicitly UNKNOWN, with retained evidence and no automatic duplicate retry.</x:v>
      </x:c>
      <x:c r="F112" s="33" t="str">
        <x:v>Unverified</x:v>
      </x:c>
      <x:c r="G112" s="33" t="str">
        <x:v>Unverified</x:v>
      </x:c>
      <x:c r="H112" s="33" t="str">
        <x:v>Unverified</x:v>
      </x:c>
      <x:c r="I112" s="33" t="str">
        <x:v>Explain that stopping the UI may leave remote work outcome unknown.</x:v>
      </x:c>
      <x:c r="J112" s="33" t="str">
        <x:v>P1</x:v>
      </x:c>
      <x:c r="K112" s="33" t="str">
        <x:v>3 Trusted work</x:v>
      </x:c>
      <x:c r="L112" s="33" t="str">
        <x:v>Transport cancellation support</x:v>
      </x:c>
      <x:c r="M112" s="33" t="str">
        <x:v>Stop records UNKNOWN when remote completion cannot be established; no automatic duplicate retry.</x:v>
      </x:c>
      <x:c r="N112" s="33" t="str">
        <x:v>Verified</x:v>
      </x:c>
      <x:c r="O112" s="33" t="str">
        <x:v>Proposed</x:v>
      </x:c>
      <x:c r="P112" s="33" t="str">
        <x:v>2026-09-16: verify-queue-terminal.cjs 4/4; run-durability.json. Isolated tests passed; no live provider/device call. Owner acceptance pending.</x:v>
      </x:c>
    </x:row>
    <x:row r="113" ht="62" customHeight="1">
      <x:c r="A113" s="35" t="str">
        <x:v>UX-108</x:v>
      </x:c>
      <x:c r="B113" s="28" t="str">
        <x:v>History</x:v>
      </x:c>
      <x:c r="C113" s="28" t="str">
        <x:v>Context truncation disclosure</x:v>
      </x:c>
      <x:c r="D113" s="28" t="str">
        <x:v>Present</x:v>
      </x:c>
      <x:c r="E113" s="28" t="str">
        <x:v>Context preview uses the request helper: latest 24 stored messages, 32,000 characters, and visible omission count. Local welcomes and notes excluded.</x:v>
      </x:c>
      <x:c r="F113" s="28" t="str">
        <x:v>Unverified</x:v>
      </x:c>
      <x:c r="G113" s="28" t="str">
        <x:v>Unverified</x:v>
      </x:c>
      <x:c r="H113" s="28" t="str">
        <x:v>Documented: context usage [D1]</x:v>
      </x:c>
      <x:c r="I113" s="28" t="str">
        <x:v>Show retained context and offer a reviewed summary for long investigations.</x:v>
      </x:c>
      <x:c r="J113" s="28" t="str">
        <x:v>P1</x:v>
      </x:c>
      <x:c r="K113" s="28" t="str">
        <x:v>3 Trusted work</x:v>
      </x:c>
      <x:c r="L113" s="28" t="str">
        <x:v>Runtime context contract</x:v>
      </x:c>
      <x:c r="M113" s="28" t="str">
        <x:v>User can tell when older messages are omitted; raw historical evidence stays available.</x:v>
      </x:c>
      <x:c r="N113" s="28" t="str">
        <x:v>Verified</x:v>
      </x:c>
      <x:c r="O113" s="28" t="str">
        <x:v>Proposed</x:v>
      </x:c>
      <x:c r="P113" s="28" t="str">
        <x:v>2026-09-15: .intentgraph/evidence/ux-fixes-2026-09-15/chat-interactions.json; verify-chat-interactions.cjs exit 0. Mocked requests; owner acceptance pending.</x:v>
      </x:c>
    </x:row>
    <x:row r="114" ht="75" customHeight="1">
      <x:c r="A114" s="36" t="str">
        <x:v>UX-109</x:v>
      </x:c>
      <x:c r="B114" s="33" t="str">
        <x:v>Coworkers</x:v>
      </x:c>
      <x:c r="C114" s="33" t="str">
        <x:v>Local notes versus model memory</x:v>
      </x:c>
      <x:c r="D114" s="33" t="str">
        <x:v>Present</x:v>
      </x:c>
      <x:c r="E114" s="33" t="str">
        <x:v>Profile and document editor disclose local-only notes. Saving works; mocked request evidence confirms notes are not sent to the model.</x:v>
      </x:c>
      <x:c r="F114" s="33" t="str">
        <x:v>Unverified</x:v>
      </x:c>
      <x:c r="G114" s="33" t="str">
        <x:v>Documented: agent instructions [C6]</x:v>
      </x:c>
      <x:c r="H114" s="33" t="str">
        <x:v>Documented: shared configuration [D1]</x:v>
      </x:c>
      <x:c r="I114" s="33" t="str">
        <x:v>Label local-only notes now; connect them only with clear review and scope.</x:v>
      </x:c>
      <x:c r="J114" s="33" t="str">
        <x:v>P1</x:v>
      </x:c>
      <x:c r="K114" s="33" t="str">
        <x:v>2 Chat</x:v>
      </x:c>
      <x:c r="L114" s="33" t="str">
        <x:v>Document/runtime context contract</x:v>
      </x:c>
      <x:c r="M114" s="33" t="str">
        <x:v>Editing local note never implies the next model response used it unless request evidence proves inclusion.</x:v>
      </x:c>
      <x:c r="N114" s="33" t="str">
        <x:v>Verified</x:v>
      </x:c>
      <x:c r="O114" s="33" t="str">
        <x:v>Agreed</x:v>
      </x:c>
      <x:c r="P114" s="33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115" ht="62" customHeight="1">
      <x:c r="A115" s="35" t="str">
        <x:v>UX-110</x:v>
      </x:c>
      <x:c r="B115" s="28" t="str">
        <x:v>Messages</x:v>
      </x:c>
      <x:c r="C115" s="28" t="str">
        <x:v>Safe links and inline media</x:v>
      </x:c>
      <x:c r="D115" s="28" t="str">
        <x:v>Partial</x:v>
      </x:c>
      <x:c r="E115" s="28" t="str">
        <x:v>HTTP(S) links use safe new-window/referrer attributes. Unsafe schemes and HTML are inert. Image references are explicit links; inline media and attachment reading remain pending.</x:v>
      </x:c>
      <x:c r="F115" s="28" t="str">
        <x:v>Unverified</x:v>
      </x:c>
      <x:c r="G115" s="28" t="str">
        <x:v>Documented: image/file outputs [C1]</x:v>
      </x:c>
      <x:c r="H115" s="28" t="str">
        <x:v>Documented: file previews [D1]</x:v>
      </x:c>
      <x:c r="I115" s="28" t="str">
        <x:v>Add safe links and supported media without executing untrusted content.</x:v>
      </x:c>
      <x:c r="J115" s="28" t="str">
        <x:v>P2</x:v>
      </x:c>
      <x:c r="K115" s="28" t="str">
        <x:v>2 Chat</x:v>
      </x:c>
      <x:c r="L115" s="28" t="str">
        <x:v>Inline media needs explicit loading policy; attachment contents need a validated backend contract.</x:v>
      </x:c>
      <x:c r="M115" s="28" t="str">
        <x:v>Links open correct source; unsupported media remains a labeled file; raw CLI remains unchanged.</x:v>
      </x:c>
      <x:c r="N115" s="28" t="str">
        <x:v>Implemented</x:v>
      </x:c>
      <x:c r="O115" s="28" t="str">
        <x:v>Proposed</x:v>
      </x:c>
      <x:c r="P115" s="28" t="str">
        <x:v>2026-09-15: edit-rendering.json and verify-edit-rendering.cjs exit 0 validate safe-link slice only. Full media acceptance remains pending.</x:v>
      </x:c>
    </x:row>
    <x:row r="116" ht="62" customHeight="1">
      <x:c r="A116" s="36" t="str">
        <x:v>UX-111</x:v>
      </x:c>
      <x:c r="B116" s="33" t="str">
        <x:v>Navigation</x:v>
      </x:c>
      <x:c r="C116" s="33" t="str">
        <x:v>Mark read or unread</x:v>
      </x:c>
      <x:c r="D116" s="33" t="str">
        <x:v>Present</x:v>
      </x:c>
      <x:c r="E116" s="33" t="str">
        <x:v>Local unread and conversation actions exist.</x:v>
      </x:c>
      <x:c r="F116" s="33" t="str">
        <x:v>Observed: unread dot and NEW separator [G1]</x:v>
      </x:c>
      <x:c r="G116" s="33" t="str">
        <x:v>Documented: mark chat unread [C4]</x:v>
      </x:c>
      <x:c r="H116" s="33" t="str">
        <x:v>Unverified</x:v>
      </x:c>
      <x:c r="I116" s="33" t="str">
        <x:v>Keep manual unread state separate from active execution state.</x:v>
      </x:c>
      <x:c r="J116" s="33" t="str">
        <x:v>P2</x:v>
      </x:c>
      <x:c r="K116" s="33" t="str">
        <x:v>Keep</x:v>
      </x:c>
      <x:c r="L116" s="33" t="str">
        <x:v>Unread persistence check</x:v>
      </x:c>
      <x:c r="M116" s="33" t="str">
        <x:v>Unread state persists correctly; opening a conversation never cancels work.</x:v>
      </x:c>
      <x:c r="N116" s="33" t="str">
        <x:v>Verified</x:v>
      </x:c>
      <x:c r="O116" s="33" t="str">
        <x:v>Preserve</x:v>
      </x:c>
      <x:c r="P116" s="33" t="str">
        <x:v>2026-09-16: preservation audit PASS. .intentgraph/evidence/pending-88-20260916/preserved-audit.json (beforeOpen=true, afterOpen=false; no request path) Owner acceptance remains separate.</x:v>
      </x:c>
    </x:row>
    <x:row r="117" ht="49" customHeight="1">
      <x:c r="A117" s="35" t="str">
        <x:v>UX-112</x:v>
      </x:c>
      <x:c r="B117" s="28" t="str">
        <x:v>Settings</x:v>
      </x:c>
      <x:c r="C117" s="28" t="str">
        <x:v>Language support disclosure</x:v>
      </x:c>
      <x:c r="D117" s="28" t="str">
        <x:v>Present</x:v>
      </x:c>
      <x:c r="E117" s="28" t="str">
        <x:v>The language selector explicitly identifies English as the system fallback; unsupported translations cannot appear selected or applied.</x:v>
      </x:c>
      <x:c r="F117" s="28" t="str">
        <x:v>Unverified</x:v>
      </x:c>
      <x:c r="G117" s="28" t="str">
        <x:v>Unverified</x:v>
      </x:c>
      <x:c r="H117" s="28" t="str">
        <x:v>Unverified</x:v>
      </x:c>
      <x:c r="I117" s="28" t="str">
        <x:v>Keep unsupported locales disabled; translate complete workflows only when supported.</x:v>
      </x:c>
      <x:c r="J117" s="28" t="str">
        <x:v>P3</x:v>
      </x:c>
      <x:c r="K117" s="28" t="str">
        <x:v>4 Extend</x:v>
      </x:c>
      <x:c r="L117" s="28" t="str">
        <x:v>Localization and text expansion</x:v>
      </x:c>
      <x:c r="M117" s="28" t="str">
        <x:v>Language choice never appears applied while labels remain unchanged.</x:v>
      </x:c>
      <x:c r="N117" s="28" t="str">
        <x:v>Verified</x:v>
      </x:c>
      <x:c r="O117" s="28" t="str">
        <x:v>Proposed</x:v>
      </x:c>
      <x:c r="P117" s="28" t="str">
        <x:v>2026-09-16: diagnostics-ui.json. Isolated tests passed; no live provider/device call. Owner acceptance pending.</x:v>
      </x:c>
    </x:row>
    <x:row r="118" ht="62" customHeight="1">
      <x:c r="A118" s="36" t="str">
        <x:v>UX-113</x:v>
      </x:c>
      <x:c r="B118" s="33" t="str">
        <x:v>Execution</x:v>
      </x:c>
      <x:c r="C118" s="33" t="str">
        <x:v>Serial capacity feedback</x:v>
      </x:c>
      <x:c r="D118" s="33" t="str">
        <x:v>Present</x:v>
      </x:c>
      <x:c r="E118" s="33" t="str">
        <x:v>Serial capacity feedback identifies the active coworker and offers navigation to the active conversation while preserving independent drafts and FIFO queue behavior.</x:v>
      </x:c>
      <x:c r="F118" s="33" t="str">
        <x:v>Unverified</x:v>
      </x:c>
      <x:c r="G118" s="33" t="str">
        <x:v>Observed: parallel task indicators [C0]</x:v>
      </x:c>
      <x:c r="H118" s="33" t="str">
        <x:v>Documented: parallel sessions [D1]</x:v>
      </x:c>
      <x:c r="I118" s="33" t="str">
        <x:v>Explain when another conversation occupies runtime and where queued work will run.</x:v>
      </x:c>
      <x:c r="J118" s="33" t="str">
        <x:v>P1</x:v>
      </x:c>
      <x:c r="K118" s="33" t="str">
        <x:v>3 Trusted work</x:v>
      </x:c>
      <x:c r="L118" s="33" t="str">
        <x:v>Global busy state and queue ownership</x:v>
      </x:c>
      <x:c r="M118" s="33" t="str">
        <x:v>Second conversation shows why it waits and identifies active work without losing its draft.</x:v>
      </x:c>
      <x:c r="N118" s="33" t="str">
        <x:v>Verified</x:v>
      </x:c>
      <x:c r="O118" s="33" t="str">
        <x:v>Proposed</x:v>
      </x:c>
      <x:c r="P118" s="33" t="str">
        <x:v>2026-09-16: alerts.json; verify-queue-terminal.cjs 4/4. Isolated tests passed; no live provider/device call. Owner acceptance pending.</x:v>
      </x:c>
    </x:row>
    <x:row r="119" ht="49" customHeight="1">
      <x:c r="A119" s="35" t="str">
        <x:v>UX-114</x:v>
      </x:c>
      <x:c r="B119" s="28" t="str">
        <x:v>Outputs</x:v>
      </x:c>
      <x:c r="C119" s="28" t="str">
        <x:v>Existing approval tooling integration</x:v>
      </x:c>
      <x:c r="D119" s="28" t="str">
        <x:v>Partial</x:v>
      </x:c>
      <x:c r="E119" s="28" t="str">
        <x:v>IntentGraph has preview/approve/execute surfaces separate from Aven.</x:v>
      </x:c>
      <x:c r="F119" s="28" t="str">
        <x:v>Unverified</x:v>
      </x:c>
      <x:c r="G119" s="28" t="str">
        <x:v>Documented: review panel [C3]</x:v>
      </x:c>
      <x:c r="H119" s="28" t="str">
        <x:v>Documented: diff/permission controls [D1]</x:v>
      </x:c>
      <x:c r="I119" s="28" t="str">
        <x:v>Reuse proven backing contracts; design Aven-facing review without exposing engineering internals.</x:v>
      </x:c>
      <x:c r="J119" s="28" t="str">
        <x:v>P1</x:v>
      </x:c>
      <x:c r="K119" s="28" t="str">
        <x:v>3 Trusted work</x:v>
      </x:c>
      <x:c r="L119" s="28" t="str">
        <x:v>IntentGraph execution-service integration</x:v>
      </x:c>
      <x:c r="M119" s="28" t="str">
        <x:v>Aven preview and executed action share the same digest, scope and one-time approval.</x:v>
      </x:c>
      <x:c r="N119" s="28" t="str">
        <x:v>Not started</x:v>
      </x:c>
      <x:c r="O119" s="28" t="str">
        <x:v>Proposed</x:v>
      </x:c>
      <x:c r="P119" s="28" t="str">
        <x:v>intentgraph/ui/index.html:7-8; adapters/index.cjs:462-503,570-598</x:v>
      </x:c>
    </x:row>
    <x:row r="120" ht="88" customHeight="1">
      <x:c r="A120" s="36" t="str">
        <x:v>UX-115</x:v>
      </x:c>
      <x:c r="B120" s="33" t="str">
        <x:v>History</x:v>
      </x:c>
      <x:c r="C120" s="33" t="str">
        <x:v>Durable raw run records</x:v>
      </x:c>
      <x:c r="D120" s="33" t="str">
        <x:v>Present</x:v>
      </x:c>
      <x:c r="E120" s="33" t="str">
        <x:v>Backend writes run evidence files even though model checkpoints are in memory.</x:v>
      </x:c>
      <x:c r="F120" s="33" t="str">
        <x:v>Unverified</x:v>
      </x:c>
      <x:c r="G120" s="33" t="str">
        <x:v>Unverified</x:v>
      </x:c>
      <x:c r="H120" s="33" t="str">
        <x:v>Unverified</x:v>
      </x:c>
      <x:c r="I120" s="33" t="str">
        <x:v>Preserve run records and expose retrieval from the relevant conversation.</x:v>
      </x:c>
      <x:c r="J120" s="33" t="str">
        <x:v>P1</x:v>
      </x:c>
      <x:c r="K120" s="33" t="str">
        <x:v>Keep</x:v>
      </x:c>
      <x:c r="L120" s="33" t="str">
        <x:v>Evidence retention and access</x:v>
      </x:c>
      <x:c r="M120" s="33" t="str">
        <x:v>A saved run record is retrievable with original provenance after UI reload.</x:v>
      </x:c>
      <x:c r="N120" s="33" t="str">
        <x:v>Verified</x:v>
      </x:c>
      <x:c r="O120" s="33" t="str">
        <x:v>Preserve</x:v>
      </x:c>
      <x:c r="P120" s="33" t="str">
        <x:v>2026-09-16: preservation audit PASS. isolated `verify-chat-read-api.cjs` passed (original raw provenance/read-back; secret fields stripped); .intentgraph/evidence/pending-88-20260916/run-recovery.json (reload/deep links/durable capture) Owner acceptance remains separate.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d3ccbc1ace7940e9"/>
  </x:tableParts>
</x:worksheet>
</file>