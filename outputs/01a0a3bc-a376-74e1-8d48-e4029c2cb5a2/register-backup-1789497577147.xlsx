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c548b7ac2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668957246646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59cde56204846" /><Relationship Type="http://schemas.openxmlformats.org/officeDocument/2006/relationships/theme" Target="/xl/theme/theme1.xml" Id="R0bb9dabcb65d49d0" /><Relationship Type="http://schemas.openxmlformats.org/officeDocument/2006/relationships/sharedStrings" Target="/xl/sharedStrings.xml" Id="R5b70e04a853c4ef6" /><Relationship Type="http://schemas.openxmlformats.org/officeDocument/2006/relationships/worksheet" Target="/xl/worksheets/sheet1.xml" Id="R6689572466464416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36e31d2e164e50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ux-pipeline-v5.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17</x:v>
      </x:c>
      <x:c r="H8" s="1" t="str">
        <x:v>Partial / placeholder</x:v>
      </x:c>
      <x:c r="I8" s="1" t="n">
        <x:f>COUNTIFS(D11:D125,"Partial")+COUNTIFS(D11:D125,"Placeholder")</x:f>
        <x:v>45</x:v>
      </x:c>
      <x:c r="J8" s="1" t="str">
        <x:v>Present</x:v>
      </x:c>
      <x:c r="K8" s="1" t="n">
        <x:f>COUNTIFS(D11:D125,"Present")</x:f>
        <x:v>47</x:v>
      </x:c>
      <x:c r="L8" s="1" t="str">
        <x:v>Not verified</x:v>
      </x:c>
      <x:c r="M8" s="1" t="n">
        <x:f>COUNTIFS(D11:D125,"Not verified")</x:f>
        <x:v>6</x:v>
      </x:c>
      <x:c r="N8" s="1" t="str">
        <x:v>Verified</x:v>
      </x:c>
      <x:c r="O8" s="1" t="n">
        <x:f>COUNTIFS(N11:N125,"Verified")</x:f>
        <x:v>25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117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117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102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87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117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117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117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7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4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Partial</x:v>
      </x:c>
      <x:c r="E22" s="17" t="str">
        <x:v>Sections and grouping are implemented around existing containers.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Not started</x:v>
      </x:c>
      <x:c r="O22" s="10" t="str">
        <x:v>Proposed</x:v>
      </x:c>
      <x:c r="P22" s="17" t="str">
        <x:v>polished.js renderSidebar; polished.js:438-481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4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Not verified</x:v>
      </x:c>
      <x:c r="E24" s="17" t="str">
        <x:v>Selection works; app-specific navigation history not verified.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Not started</x:v>
      </x:c>
      <x:c r="O24" s="10" t="str">
        <x:v>Investigate</x:v>
      </x:c>
      <x:c r="P24" s="17" t="str">
        <x:v>Source inspection needed; polished.js:438-481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87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Present</x:v>
      </x:c>
      <x:c r="E26" s="17" t="str">
        <x:v>Coworker, conversation and result-type filters; snippets, destinations, empty state and exact message focus verified.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Verified</x:v>
      </x:c>
      <x:c r="O26" s="10" t="str">
        <x:v>Proposed</x:v>
      </x:c>
      <x:c r="P26" s="17" t="str">
        <x:v>2026-09-15: .intentgraph/evidence/ux-fixes-2026-09-15/history-navigation.json; verify-history-navigation.cjs exit 0. Isolated mocked chat; owner acceptance pending.</x:v>
      </x:c>
      <x:c r="Q26" s="1"/>
      <x:c r="R26" s="1"/>
      <x:c r="S26" s="1"/>
      <x:c r="T26" s="1"/>
    </x:row>
    <x:row r="27" ht="87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7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4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Partial</x:v>
      </x:c>
      <x:c r="E31" s="19" t="str">
        <x:v>Pickers/chips exist. Only filenames persist; connected chat rejects attachments.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Not started</x:v>
      </x:c>
      <x:c r="O31" s="10" t="str">
        <x:v>Proposed</x:v>
      </x:c>
      <x:c r="P31" s="19" t="str">
        <x:v>polished.js:213-226,373,423-426; polished.html:99-108</x:v>
      </x:c>
      <x:c r="Q31" s="1"/>
      <x:c r="R31" s="1"/>
      <x:c r="S31" s="1"/>
      <x:c r="T31" s="1"/>
    </x:row>
    <x:row r="32" ht="4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Not verified</x:v>
      </x:c>
      <x:c r="E32" s="17" t="str">
        <x:v>Picker exists; drop and paste coverage unverified.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Not started</x:v>
      </x:c>
      <x:c r="O32" s="10" t="str">
        <x:v>Investigate</x:v>
      </x:c>
      <x:c r="P32" s="17" t="str">
        <x:v>Source/runtime verification needed; polished.js:213-265,408-437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87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7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48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Partial</x:v>
      </x:c>
      <x:c r="E39" s="19" t="str">
        <x:v>Stop/cancel path exists; actual backend cancellation needs regression.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Not started</x:v>
      </x:c>
      <x:c r="O39" s="10" t="str">
        <x:v>Proposed</x:v>
      </x:c>
      <x:c r="P39" s="19" t="str">
        <x:v>polished.js; server.cjs; polished.js:193-255,380-422; intentgraph/server.cjs:206-285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42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Partial</x:v>
      </x:c>
      <x:c r="E46" s="17" t="str">
        <x:v>Timestamps and elapsed time shown; attention states need richer treatment.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Not started</x:v>
      </x:c>
      <x:c r="O46" s="10" t="str">
        <x:v>Proposed</x:v>
      </x:c>
      <x:c r="P46" s="17" t="str">
        <x:v>A0; polished.js; polished.js:193-255,380-422; intentgraph/server.cjs:206-285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48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Missing</x:v>
      </x:c>
      <x:c r="E48" s="17" t="str">
        <x:v>No live context budget or usage meter in Aven.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Not started</x:v>
      </x:c>
      <x:c r="O48" s="10" t="str">
        <x:v>Proposed</x:v>
      </x:c>
      <x:c r="P48" s="17" t="str">
        <x:v>polished.html; runtime source; polished.js:193-255,380-422; intentgraph/server.cjs:206-285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48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Missing</x:v>
      </x:c>
      <x:c r="E50" s="17" t="str">
        <x:v>Local history persists; active runtime checkpoints are not durable.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Not started</x:v>
      </x:c>
      <x:c r="O50" s="10" t="str">
        <x:v>Proposed</x:v>
      </x:c>
      <x:c r="P50" s="17" t="str">
        <x:v>architecture.json; agent-runtime.cjs; polished.js:193-255,380-422; intentgraph/server.cjs:206-285</x:v>
      </x:c>
      <x:c r="Q50" s="1"/>
      <x:c r="R50" s="1"/>
      <x:c r="S50" s="1"/>
      <x:c r="T50" s="1"/>
    </x:row>
    <x:row r="51" ht="7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87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Present</x:v>
      </x:c>
      <x:c r="E54" s="17" t="str">
        <x:v>Local date separators and focusable timestamps with full accessible date/time. Invalid timestamps do not invent dates.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Verified</x:v>
      </x:c>
      <x:c r="O54" s="10" t="str">
        <x:v>Proposed</x:v>
      </x:c>
      <x:c r="P54" s="17" t="str">
        <x:v>2026-09-15: .intentgraph/evidence/ux-fixes-2026-09-15/history-navigation.json; verify-history-navigation.cjs exit 0. Isolated mocked chat; owner acceptance pending.</x:v>
      </x:c>
      <x:c r="Q54" s="1"/>
      <x:c r="R54" s="1"/>
      <x:c r="S54" s="1"/>
      <x:c r="T54" s="1"/>
    </x:row>
    <x:row r="55" ht="87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Present</x:v>
      </x:c>
      <x:c r="E55" s="19" t="str">
        <x:v>Output preserves older reading position; explicit keyboard Jump to latest and near-bottom following use a 120px threshold.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Verified</x:v>
      </x:c>
      <x:c r="O55" s="10" t="str">
        <x:v>Investigate</x:v>
      </x:c>
      <x:c r="P55" s="19" t="str">
        <x:v>2026-09-15: .intentgraph/evidence/ux-fixes-2026-09-15/history-navigation.json; verify-history-navigation.cjs exit 0. Isolated mocked chat; owner acceptance pending.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87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Present</x:v>
      </x:c>
      <x:c r="E57" s="19" t="str">
        <x:v>Named local forks retain the selected message prefix and raw provenance. Parent history/draft/queue unchanged; origin link survives reload and storage failures roll back.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Verified</x:v>
      </x:c>
      <x:c r="O57" s="10" t="str">
        <x:v>Proposed</x:v>
      </x:c>
      <x:c r="P57" s="19" t="str">
        <x:v>2026-09-15: .intentgraph/evidence/ux-fixes-2026-09-15/history-navigation.json; verify-history-navigation.cjs exit 0. Isolated mocked chat; owner acceptance pending.</x:v>
      </x:c>
      <x:c r="Q57" s="1"/>
      <x:c r="R57" s="1"/>
      <x:c r="S57" s="1"/>
      <x:c r="T57" s="1"/>
    </x:row>
    <x:row r="58" ht="42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Partial</x:v>
      </x:c>
      <x:c r="E58" s="17" t="str">
        <x:v>Local message IDs exist; persistent deep-link workflow not verified.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Not started</x:v>
      </x:c>
      <x:c r="O58" s="10" t="str">
        <x:v>Proposed</x:v>
      </x:c>
      <x:c r="P58" s="17" t="str">
        <x:v>polished.js message IDs; polished.js:92-192</x:v>
      </x:c>
      <x:c r="Q58" s="1"/>
      <x:c r="R58" s="1"/>
      <x:c r="S58" s="1"/>
      <x:c r="T58" s="1"/>
    </x:row>
    <x:row r="59" ht="117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117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Present</x:v>
      </x:c>
      <x:c r="E61" s="19" t="str">
        <x:v>Workspace JSON and selected conversation Markdown exports include timestamps, drafts, notes and exact raw evidence. Backend credentials and attachment contents are not read.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Verified</x:v>
      </x:c>
      <x:c r="O61" s="10" t="str">
        <x:v>Proposed</x:v>
      </x:c>
      <x:c r="P61" s="19" t="str">
        <x:v>2026-09-15: local-data-ui.json; browser test exit 0. verify-backup-schema.cjs 9/9 passed, including private-field rejection, exact evidence, UTF-8 size boundary and interrupted-import recovery. Owner acceptance pending.</x:v>
      </x:c>
      <x:c r="Q61" s="1"/>
      <x:c r="R61" s="1"/>
      <x:c r="S61" s="1"/>
      <x:c r="T61" s="1"/>
    </x:row>
    <x:row r="62" ht="117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Present</x:v>
      </x:c>
      <x:c r="E62" s="17" t="str">
        <x:v>Validated import preview. Add mode remaps collisions and preserves existing work; explicit Replace keeps a recovery backup. Imported queues pause. Write failures and interrupted imports recover before startup migration.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Verified</x:v>
      </x:c>
      <x:c r="O62" s="10" t="str">
        <x:v>Proposed</x:v>
      </x:c>
      <x:c r="P62" s="17" t="str">
        <x:v>2026-09-15: local-data-ui.json; browser test exit 0. verify-backup-schema.cjs 9/9 passed, including private-field rejection, exact evidence, UTF-8 size boundary and interrupted-import recovery. Owner acceptance pending.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Authentication and history backend</x:v>
      </x:c>
      <x:c r="M63" s="19" t="str">
        <x:v>Two devices show consistent authorized history with explicit conflict handling.</x:v>
      </x:c>
      <x:c r="N63" s="10" t="str">
        <x:v>Not started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4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Profile switch exists; actual delivery is not established.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Not started</x:v>
      </x:c>
      <x:c r="O67" s="10" t="str">
        <x:v>Proposed</x:v>
      </x:c>
      <x:c r="P67" s="19" t="str">
        <x:v>A0; polished.js profile notifications; polished.js:272-314,472-479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117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Present</x:v>
      </x:c>
      <x:c r="E69" s="15" t="str">
        <x:v>Comfortable and Compact density styles with light/dark themes. Save, cancel, reload and storage-failure behavior verified.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Verified</x:v>
      </x:c>
      <x:c r="O69" s="13" t="str">
        <x:v>Preserve</x:v>
      </x:c>
      <x:c r="P69" s="15" t="str">
        <x:v>2026-09-15: local-data-ui.json; browser test exit 0. verify-backup-schema.cjs 9/9 passed, including private-field rejection, exact evidence, UTF-8 size boundary and interrupted-import recovery. Owner acceptance pending.</x:v>
      </x:c>
      <x:c r="Q69" s="1"/>
      <x:c r="R69" s="1"/>
      <x:c r="S69" s="1"/>
      <x:c r="T69" s="1"/>
    </x:row>
    <x:row r="70" ht="42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Preferred provider list exists; active connection stays OpenCode.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Not started</x:v>
      </x:c>
      <x:c r="O70" s="10" t="str">
        <x:v>Proposed</x:v>
      </x:c>
      <x:c r="P70" s="17" t="str">
        <x:v>A0 Models; architecture.json; polished.js:480-482</x:v>
      </x:c>
      <x:c r="Q70" s="1"/>
      <x:c r="R70" s="1"/>
      <x:c r="S70" s="1"/>
      <x:c r="T70" s="1"/>
    </x:row>
    <x:row r="71" ht="4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Connections and network sandbox surfaces exist.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Not started</x:v>
      </x:c>
      <x:c r="O71" s="10" t="str">
        <x:v>Proposed</x:v>
      </x:c>
      <x:c r="P71" s="19" t="str">
        <x:v>polished.html; server.cjs; polished.js:480-482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Authentication backend for future accounts</x:v>
      </x:c>
      <x:c r="M73" s="19" t="str">
        <x:v>No control suggests remote sign-in or sign-out succeeded when it only changes local display.</x:v>
      </x:c>
      <x:c r="N73" s="10" t="str">
        <x:v>Not started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42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Partial</x:v>
      </x:c>
      <x:c r="E74" s="17" t="str">
        <x:v>Help/About/Feedback entries exist; usefulness needs verification.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Not started</x:v>
      </x:c>
      <x:c r="O74" s="10" t="str">
        <x:v>Proposed</x:v>
      </x:c>
      <x:c r="P74" s="17" t="str">
        <x:v>polished.html account-menu; polished.js; polished.js:480-482</x:v>
      </x:c>
      <x:c r="Q74" s="1"/>
      <x:c r="R74" s="1"/>
      <x:c r="S74" s="1"/>
      <x:c r="T74" s="1"/>
    </x:row>
    <x:row r="75" ht="7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42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Placeholder</x:v>
      </x:c>
      <x:c r="E76" s="21" t="str">
        <x:v>Artifact pane says outputs are scoped to sample conversation.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Not started</x:v>
      </x:c>
      <x:c r="O76" s="13" t="str">
        <x:v>Proposed</x:v>
      </x:c>
      <x:c r="P76" s="21" t="str">
        <x:v>A0 artifact pane; polished.js; polished.js:319-370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42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Placeholder</x:v>
      </x:c>
      <x:c r="E93" s="15" t="str">
        <x:v>Feed opens No feed yet.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Not started</x:v>
      </x:c>
      <x:c r="O93" s="13" t="str">
        <x:v>Proposed</x:v>
      </x:c>
      <x:c r="P93" s="15" t="str">
        <x:v>A0 Feed; polished.js; polished.js:434-449; intentgraph/ui/index.html:7-8</x:v>
      </x:c>
      <x:c r="Q93" s="1"/>
      <x:c r="R93" s="1"/>
      <x:c r="S93" s="1"/>
      <x:c r="T93" s="1"/>
    </x:row>
    <x:row r="94" ht="48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Placeholder</x:v>
      </x:c>
      <x:c r="E94" s="17" t="str">
        <x:v>Navigation exists; no complete idea-to-work flow established.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Not started</x:v>
      </x:c>
      <x:c r="O94" s="10" t="str">
        <x:v>Proposed</x:v>
      </x:c>
      <x:c r="P94" s="17" t="str">
        <x:v>polished.html Ideas; polished.js; polished.js:434-449; intentgraph/ui/index.html:7-8</x:v>
      </x:c>
      <x:c r="Q94" s="1"/>
      <x:c r="R94" s="1"/>
      <x:c r="S94" s="1"/>
      <x:c r="T94" s="1"/>
    </x:row>
    <x:row r="95" ht="48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Placeholder</x:v>
      </x:c>
      <x:c r="E95" s="19" t="str">
        <x:v>Goals entry exists; durable execution-linked progress not established.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Not started</x:v>
      </x:c>
      <x:c r="O95" s="10" t="str">
        <x:v>Proposed</x:v>
      </x:c>
      <x:c r="P95" s="19" t="str">
        <x:v>polished.html Goals; architecture.json; polished.js:434-449; intentgraph/ui/index.html:7-8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48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Preference exists; event delivery and deep links not verified.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Not started</x:v>
      </x:c>
      <x:c r="O97" s="10" t="str">
        <x:v>Proposed</x:v>
      </x:c>
      <x:c r="P97" s="19" t="str">
        <x:v>polished.js profile preferences; polished.js:434-449; intentgraph/ui/index.html:7-8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Authentication and durable execution</x:v>
      </x:c>
      <x:c r="M100" s="17" t="str">
        <x:v>Handoff preserves context and permissions without concurrent duplicate execution.</x:v>
      </x:c>
      <x:c r="N100" s="10" t="str">
        <x:v>Not started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42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Not verified</x:v>
      </x:c>
      <x:c r="E103" s="19" t="str">
        <x:v>No current conformance audit; visual sidebar overflow confirmed.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Not started</x:v>
      </x:c>
      <x:c r="O103" s="10" t="str">
        <x:v>Investigate</x:v>
      </x:c>
      <x:c r="P103" s="19" t="str">
        <x:v>A0; polished.css; polished.css:45-64,116-143,325-329; polished.js:19-58,437-449</x:v>
      </x:c>
      <x:c r="Q103" s="1"/>
      <x:c r="R103" s="1"/>
      <x:c r="S103" s="1"/>
      <x:c r="T103" s="1"/>
    </x:row>
    <x:row r="104" ht="48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Partial</x:v>
      </x:c>
      <x:c r="E104" s="17" t="str">
        <x:v>CSS and preference handling require runtime verification.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Not started</x:v>
      </x:c>
      <x:c r="O104" s="10" t="str">
        <x:v>Proposed</x:v>
      </x:c>
      <x:c r="P104" s="17" t="str">
        <x:v>polished.css motion rules; polished.css:45-64,116-143,325-329; polished.js:19-58,437-449</x:v>
      </x:c>
      <x:c r="Q104" s="1"/>
      <x:c r="R104" s="1"/>
      <x:c r="S104" s="1"/>
      <x:c r="T104" s="1"/>
    </x:row>
    <x:row r="105" ht="48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Partial</x:v>
      </x:c>
      <x:c r="E105" s="19" t="str">
        <x:v>Hover/focus actions exist; reaction layout is incorrect.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Not started</x:v>
      </x:c>
      <x:c r="O105" s="10" t="str">
        <x:v>Proposed</x:v>
      </x:c>
      <x:c r="P105" s="19" t="str">
        <x:v>A0; polished.js menu positioning; polished.css:45-64,116-143,325-329; polished.js:19-58,437-449</x:v>
      </x:c>
      <x:c r="Q105" s="1"/>
      <x:c r="R105" s="1"/>
      <x:c r="S105" s="1"/>
      <x:c r="T105" s="1"/>
    </x:row>
    <x:row r="106" ht="4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Partial</x:v>
      </x:c>
      <x:c r="E106" s="17" t="str">
        <x:v>Responsive rules exist; narrow embedded pane shows heavy overflow.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Not started</x:v>
      </x:c>
      <x:c r="O106" s="10" t="str">
        <x:v>Proposed</x:v>
      </x:c>
      <x:c r="P106" s="17" t="str">
        <x:v>A0/C0; polished.css; polished.css:45-64,116-143,325-329; polished.js:19-58,437-449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72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Partial</x:v>
      </x:c>
      <x:c r="E112" s="17" t="str">
        <x:v>About identifies loaded UI build ux-pipeline-v5 and offers safe copyable support details. Live connection-health diagnostics remain pending.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Connection diagnostics must read the current backend/provider state without exposing credentials.</x:v>
      </x:c>
      <x:c r="M112" s="17" t="str">
        <x:v>Support report identifies exact build and contains no provider keys.</x:v>
      </x:c>
      <x:c r="N112" s="10" t="str">
        <x:v>Implemented</x:v>
      </x:c>
      <x:c r="O112" s="10" t="str">
        <x:v>Proposed</x:v>
      </x:c>
      <x:c r="P112" s="17" t="str">
        <x:v>2026-09-15: local-data-ui.json verifies build details and safe support text. Remaining connection-status portion not implemented.</x:v>
      </x:c>
      <x:c r="Q112" s="1"/>
      <x:c r="R112" s="1"/>
      <x:c r="S112" s="1"/>
      <x:c r="T112" s="1"/>
    </x:row>
    <x:row r="113" ht="117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Identity, tenancy and authorization</x:v>
      </x:c>
      <x:c r="M114" s="17" t="str">
        <x:v>Wrong-customer data is inaccessible; workspace/access context is explicit.</x:v>
      </x:c>
      <x:c r="N114" s="10" t="str">
        <x:v>Not started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42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Partial</x:v>
      </x:c>
      <x:c r="E117" s="19" t="str">
        <x:v>Local abort exists; remote Catalyst task cancellation is unavailable.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Not started</x:v>
      </x:c>
      <x:c r="O117" s="10" t="str">
        <x:v>Proposed</x:v>
      </x:c>
      <x:c r="P117" s="19" t="str">
        <x:v>intentgraph/catalyst.cjs:323-378</x:v>
      </x:c>
      <x:c r="Q117" s="1"/>
      <x:c r="R117" s="1"/>
      <x:c r="S117" s="1"/>
      <x:c r="T117" s="1"/>
    </x:row>
    <x:row r="118" ht="87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117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87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4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Partial</x:v>
      </x:c>
      <x:c r="E122" s="21" t="str">
        <x:v>English/system preference; other languages explicitly unsupported.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Not started</x:v>
      </x:c>
      <x:c r="O122" s="13" t="str">
        <x:v>Proposed</x:v>
      </x:c>
      <x:c r="P122" s="21" t="str">
        <x:v>polished.js:480</x:v>
      </x:c>
      <x:c r="Q122" s="1"/>
      <x:c r="R122" s="1"/>
      <x:c r="S122" s="1"/>
      <x:c r="T122" s="1"/>
    </x:row>
    <x:row r="123" ht="42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Partial</x:v>
      </x:c>
      <x:c r="E123" s="15" t="str">
        <x:v>One active request for the whole backend; queue exists.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Not started</x:v>
      </x:c>
      <x:c r="O123" s="13" t="str">
        <x:v>Proposed</x:v>
      </x:c>
      <x:c r="P123" s="15" t="str">
        <x:v>polished.js:408-422; intentgraph/server.cjs:236-285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6e31d2e164e50"/>
  </x:tableParts>
</x:worksheet>
</file>