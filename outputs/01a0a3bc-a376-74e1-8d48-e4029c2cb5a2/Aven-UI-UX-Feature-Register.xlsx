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d054d628f1468c" /></Relationships>
</file>

<file path=xl/workbook.xml><?xml version="1.0" encoding="utf-8"?>
<x:workbook xmlns:x="http://schemas.openxmlformats.org/spreadsheetml/2006/main">
  <x:sheets>
    <x:sheet xmlns:r="http://schemas.openxmlformats.org/officeDocument/2006/relationships" name="Feature register" sheetId="1" r:id="R52ac9eb206d34d0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53448"/>
      <x:name val="Arial"/>
    </x:font>
    <x:font>
      <x:b/>
      <x:sz val="16"/>
      <x:color rgb="FF253448"/>
      <x:name val="Arial"/>
    </x:font>
    <x:font>
      <x:b/>
      <x:sz val="10"/>
      <x:color rgb="FFFFFFFF"/>
      <x:name val="Arial"/>
    </x:font>
    <x:font>
      <x:b/>
      <x:sz val="10"/>
      <x:color rgb="FF253448"/>
      <x:name val="Arial"/>
    </x:font>
  </x:fonts>
  <x:fills count="6">
    <x:fill>
      <x:patternFill patternType="none"/>
    </x:fill>
    <x:fill>
      <x:patternFill patternType="gray125"/>
    </x:fill>
    <x:fill>
      <x:patternFill patternType="solid">
        <x:fgColor rgb="FF253448"/>
      </x:patternFill>
    </x:fill>
    <x:fill>
      <x:patternFill patternType="solid">
        <x:fgColor rgb="FFFFF7E2"/>
      </x:patternFill>
    </x:fill>
    <x:fill>
      <x:patternFill patternType="solid">
        <x:fgColor rgb="FFF5F7FA"/>
      </x:patternFill>
    </x:fill>
    <x:fill>
      <x:patternFill patternType="solid">
        <x:fgColor rgb="FFFFFFFF"/>
      </x:patternFill>
    </x:fill>
  </x:fills>
  <x:borders count="2">
    <x:border/>
    <x:border>
      <x:top style="thin">
        <x:color rgb="FF9CAABD"/>
      </x:top>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cellXfs>
  <x:cellStyles count="1">
    <x:cellStyle name="Normal" xfId="0"/>
  </x:cellStyles>
  <x:dxfs count="3">
    <x:dxf>
      <x:font>
        <x:b/>
        <x:color rgb="FF922D32"/>
      </x:font>
      <x:fill>
        <x:patternFill>
          <x:bgColor rgb="FFFBE5E4"/>
        </x:patternFill>
      </x:fill>
    </x:dxf>
    <x:dxf>
      <x:font>
        <x:color rgb="FF805322"/>
      </x:font>
      <x:fill>
        <x:patternFill>
          <x:bgColor rgb="FFFFF1DC"/>
        </x:patternFill>
      </x:fill>
    </x:dxf>
    <x:dxf>
      <x:font>
        <x:color rgb="FF46566D"/>
      </x:font>
      <x:fill>
        <x:patternFill>
          <x:bgColor rgb="FFE9ED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5ab9b6e5374498" /><Relationship Type="http://schemas.openxmlformats.org/officeDocument/2006/relationships/theme" Target="/xl/theme/theme1.xml" Id="R9509cc54985948d4" /><Relationship Type="http://schemas.openxmlformats.org/officeDocument/2006/relationships/sharedStrings" Target="/xl/sharedStrings.xml" Id="R86fd68b0cefb45b2" /><Relationship Type="http://schemas.openxmlformats.org/officeDocument/2006/relationships/worksheet" Target="/xl/worksheets/sheet1.xml" Id="R52ac9eb206d34d02" /></Relationships>
</file>

<file path=xl/tables/table1.xml><?xml version="1.0" encoding="utf-8"?>
<x:table xmlns:x="http://schemas.openxmlformats.org/spreadsheetml/2006/main" id="1" name="AvenFeatures" displayName="AvenFeatures" ref="A10:S125" headerRowCount="1" totalsRowCount="0" totalsRowShown="0">
  <x:autoFilter ref="A10:S125"/>
  <x:tableColumns count="19">
    <x:tableColumn id="1" name="ID"/>
    <x:tableColumn id="2" name="Area"/>
    <x:tableColumn id="3" name="Feature"/>
    <x:tableColumn id="4" name="Aven state"/>
    <x:tableColumn id="5" name="Aven today"/>
    <x:tableColumn id="6" name="Grok Bot"/>
    <x:tableColumn id="7" name="Codex desktop"/>
    <x:tableColumn id="8" name="Claude Code"/>
    <x:tableColumn id="9" name="Aven target / next action"/>
    <x:tableColumn id="10" name="Priority"/>
    <x:tableColumn id="11" name="Phase"/>
    <x:tableColumn id="12" name="Dependency"/>
    <x:tableColumn id="13" name="Acceptance check"/>
    <x:tableColumn id="14" name="Delivery"/>
    <x:tableColumn id="15" name="Decision"/>
    <x:tableColumn id="16" name="Evidence"/>
    <x:tableColumn id="17" name="Effective verdict 2026-09-19"/>
    <x:tableColumn id="18" name="Admission evidence 2026-09-19"/>
    <x:tableColumn id="19" name="Remaining scope / limit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b91acc2d02d4683" /></Relationships>
</file>

<file path=xl/worksheets/sheet1.xml><?xml version="1.0" encoding="utf-8"?>
<x:worksheet xmlns:r="http://schemas.openxmlformats.org/officeDocument/2006/relationships" xmlns:x="http://schemas.openxmlformats.org/spreadsheetml/2006/main">
  <x:sheetPr>
    <x:tabColor rgb="FF253448"/>
  </x:sheetPr>
  <x:sheetViews>
    <x:sheetView showGridLines="0" workbookViewId="0">
      <x:pane xSplit="3" ySplit="10" topLeftCell="D11" activePane="bottomRight" state="frozen"/>
    </x:sheetView>
  </x:sheetViews>
  <x:sheetFormatPr defaultRowHeight="15"/>
  <x:cols>
    <x:col min="1" max="1" width="10" hidden="0" customWidth="1"/>
    <x:col min="2" max="2" width="15" hidden="0" customWidth="1"/>
    <x:col min="3" max="3" width="30" hidden="0" customWidth="1"/>
    <x:col min="4" max="4" width="17" hidden="0" customWidth="1"/>
    <x:col min="5" max="5" width="49" hidden="0" customWidth="1"/>
    <x:col min="6" max="6" width="36" hidden="0" customWidth="1"/>
    <x:col min="7" max="7" width="36" hidden="0" customWidth="1"/>
    <x:col min="8" max="8" width="36" hidden="0" customWidth="1"/>
    <x:col min="9" max="9" width="58" hidden="0" customWidth="1"/>
    <x:col min="10" max="10" width="10" hidden="0" customWidth="1"/>
    <x:col min="11" max="11" width="19" hidden="0" customWidth="1"/>
    <x:col min="12" max="12" width="41" hidden="0" customWidth="1"/>
    <x:col min="13" max="13" width="65" hidden="0" customWidth="1"/>
    <x:col min="14" max="14" width="18" hidden="0" customWidth="1"/>
    <x:col min="15" max="15" width="16" hidden="0" customWidth="1"/>
    <x:col min="16" max="16" width="46" hidden="0" customWidth="1"/>
    <x:col min="17" max="17" width="29" customWidth="1"/>
    <x:col min="18" max="18" width="72" customWidth="1"/>
    <x:col min="19" max="19" width="65" customWidth="1"/>
  </x:cols>
  <x:sheetData>
    <x:row r="1">
      <x:c r="A1" s="1"/>
      <x:c r="B1" s="1"/>
      <x:c r="C1" s="1"/>
      <x:c r="D1" s="1"/>
      <x:c r="E1" s="1"/>
      <x:c r="F1" s="1"/>
      <x:c r="G1" s="1"/>
      <x:c r="H1" s="1"/>
      <x:c r="I1" s="1"/>
      <x:c r="J1" s="1"/>
      <x:c r="K1" s="1"/>
      <x:c r="L1" s="1"/>
      <x:c r="M1" s="1"/>
      <x:c r="N1" s="1"/>
      <x:c r="O1" s="1"/>
      <x:c r="P1" s="1"/>
      <x:c r="Q1" s="1"/>
      <x:c r="R1" s="1"/>
      <x:c r="S1" s="1"/>
      <x:c r="T1" s="1"/>
    </x:row>
    <x:row r="2">
      <x:c r="A2" s="2" t="str">
        <x:v>Aven UI and UX comparison</x:v>
      </x:c>
      <x:c r="B2" s="1"/>
      <x:c r="C2" s="1"/>
      <x:c r="D2" s="1"/>
      <x:c r="E2" s="1"/>
      <x:c r="F2" s="1"/>
      <x:c r="G2" s="1"/>
      <x:c r="H2" s="1"/>
      <x:c r="I2" s="1"/>
      <x:c r="J2" s="1"/>
      <x:c r="K2" s="1"/>
      <x:c r="L2" s="1"/>
      <x:c r="M2" s="1"/>
      <x:c r="N2" s="1"/>
      <x:c r="O2" s="1"/>
      <x:c r="P2" s="1"/>
      <x:c r="Q2" s="1"/>
      <x:c r="R2" s="1"/>
      <x:c r="S2" s="1"/>
      <x:c r="T2" s="1"/>
    </x:row>
    <x:row r="3">
      <x:c r="A3" s="1" t="str">
        <x:v>15 September 2026. Current Aven: ux-pipeline-v7. Reference differences are opportunities, not automatic requirements.</x:v>
      </x:c>
      <x:c r="B3" s="1"/>
      <x:c r="C3" s="1"/>
      <x:c r="D3" s="1"/>
      <x:c r="E3" s="1"/>
      <x:c r="F3" s="1"/>
      <x:c r="G3" s="1"/>
      <x:c r="H3" s="1"/>
      <x:c r="I3" s="1"/>
      <x:c r="J3" s="1"/>
      <x:c r="K3" s="1"/>
      <x:c r="L3" s="1"/>
      <x:c r="M3" s="1"/>
      <x:c r="N3" s="1"/>
      <x:c r="O3" s="1"/>
      <x:c r="P3" s="1"/>
      <x:c r="Q3" s="1"/>
      <x:c r="R3" s="1"/>
      <x:c r="S3" s="1"/>
      <x:c r="T3" s="1"/>
    </x:row>
    <x:row r="4">
      <x:c r="A4" s="1" t="str">
        <x:v>Observed = inspected UI, not end-to-end capability proof. Documented = official product docs. Unverified = not established.</x:v>
      </x:c>
      <x:c r="B4" s="1"/>
      <x:c r="C4" s="1"/>
      <x:c r="D4" s="1"/>
      <x:c r="E4" s="1"/>
      <x:c r="F4" s="1"/>
      <x:c r="G4" s="1"/>
      <x:c r="H4" s="1"/>
      <x:c r="I4" s="1"/>
      <x:c r="J4" s="1"/>
      <x:c r="K4" s="1"/>
      <x:c r="L4" s="1"/>
      <x:c r="M4" s="1"/>
      <x:c r="N4" s="1"/>
      <x:c r="O4" s="1"/>
      <x:c r="P4" s="1"/>
      <x:c r="Q4" s="1"/>
      <x:c r="R4" s="1"/>
      <x:c r="S4" s="1"/>
      <x:c r="T4" s="1"/>
    </x:row>
    <x:row r="5">
      <x:c r="A5" s="1" t="str">
        <x:v>Assessment: useful network-work foundation; incomplete interaction consistency, capability readiness and recovery.</x:v>
      </x:c>
      <x:c r="B5" s="1"/>
      <x:c r="C5" s="1"/>
      <x:c r="D5" s="1"/>
      <x:c r="E5" s="1"/>
      <x:c r="F5" s="1"/>
      <x:c r="G5" s="1"/>
      <x:c r="H5" s="1"/>
      <x:c r="I5" s="1"/>
      <x:c r="J5" s="1"/>
      <x:c r="K5" s="1"/>
      <x:c r="L5" s="1"/>
      <x:c r="M5" s="1"/>
      <x:c r="N5" s="1"/>
      <x:c r="O5" s="1"/>
      <x:c r="P5" s="1"/>
      <x:c r="Q5" s="1"/>
      <x:c r="R5" s="1"/>
      <x:c r="S5" s="1"/>
      <x:c r="T5" s="1"/>
    </x:row>
    <x:row r="6">
      <x:c r="A6" s="1" t="str">
        <x:v>Build order: 1 Basics → 2 Chat → 3 Trusted work → 4 Extend. Preserve existing strengths throughout.</x:v>
      </x:c>
      <x:c r="B6" s="1"/>
      <x:c r="C6" s="1"/>
      <x:c r="D6" s="1"/>
      <x:c r="E6" s="1"/>
      <x:c r="F6" s="1"/>
      <x:c r="G6" s="1"/>
      <x:c r="H6" s="1"/>
      <x:c r="I6" s="1"/>
      <x:c r="J6" s="1"/>
      <x:c r="K6" s="1"/>
      <x:c r="L6" s="1"/>
      <x:c r="M6" s="1"/>
      <x:c r="N6" s="1"/>
      <x:c r="O6" s="1"/>
      <x:c r="P6" s="1"/>
      <x:c r="Q6" s="1"/>
      <x:c r="R6" s="1"/>
      <x:c r="S6" s="1"/>
      <x:c r="T6" s="1"/>
    </x:row>
    <x:row r="7">
      <x:c r="A7" s="1" t="str">
        <x:v>Implementation pipeline active: fix Needs fix first, then Missing and Partial by dependency. Verified means tested; owner acceptance is separate.</x:v>
      </x:c>
      <x:c r="B7" s="1"/>
      <x:c r="C7" s="1"/>
      <x:c r="D7" s="1"/>
      <x:c r="E7" s="1"/>
      <x:c r="F7" s="1"/>
      <x:c r="G7" s="1"/>
      <x:c r="H7" s="1"/>
      <x:c r="I7" s="1"/>
      <x:c r="J7" s="1"/>
      <x:c r="K7" s="1"/>
      <x:c r="L7" s="1"/>
      <x:c r="M7" s="1"/>
      <x:c r="N7" s="1"/>
      <x:c r="O7" s="1"/>
      <x:c r="P7" s="1"/>
      <x:c r="Q7" s="1"/>
      <x:c r="R7" s="1"/>
      <x:c r="S7" s="1"/>
      <x:c r="T7" s="1"/>
    </x:row>
    <x:row r="8">
      <x:c r="A8" s="1" t="str">
        <x:v>Checks</x:v>
      </x:c>
      <x:c r="B8" s="1" t="n">
        <x:v>115</x:v>
      </x:c>
      <x:c r="C8" s="1"/>
      <x:c r="D8" s="1" t="str">
        <x:v>Needs fix</x:v>
      </x:c>
      <x:c r="E8" s="1" t="n">
        <x:f>COUNTIFS(D11:D125,"Needs fix")</x:f>
        <x:v>0</x:v>
      </x:c>
      <x:c r="F8" s="1" t="str">
        <x:v>Missing</x:v>
      </x:c>
      <x:c r="G8" s="1" t="n">
        <x:f>COUNTIFS(D11:D125,"Missing")</x:f>
        <x:v>10</x:v>
      </x:c>
      <x:c r="H8" s="1" t="str">
        <x:v>Partial / placeholder</x:v>
      </x:c>
      <x:c r="I8" s="1" t="n">
        <x:f>COUNTIFS(D11:D125,"Partial")+COUNTIFS(D11:D125,"Placeholder")</x:f>
        <x:v>24</x:v>
      </x:c>
      <x:c r="J8" s="1" t="str">
        <x:v>Present</x:v>
      </x:c>
      <x:c r="K8" s="1" t="n">
        <x:f>COUNTIFS(D11:D125,"Present")</x:f>
        <x:v>78</x:v>
      </x:c>
      <x:c r="L8" s="1" t="str">
        <x:v>Not verified</x:v>
      </x:c>
      <x:c r="M8" s="1" t="n">
        <x:f>COUNTIFS(D11:D125,"Not verified")</x:f>
        <x:v>3</x:v>
      </x:c>
      <x:c r="N8" s="1" t="str">
        <x:v>Verified</x:v>
      </x:c>
      <x:c r="O8" s="1" t="n">
        <x:f>COUNTIFS(N11:N125,"Verified")</x:f>
        <x:v>80</x:v>
      </x:c>
      <x:c r="P8" s="1"/>
      <x:c r="Q8" s="1"/>
      <x:c r="R8" s="1"/>
      <x:c r="S8" s="1"/>
      <x:c r="T8" s="1"/>
    </x:row>
    <x:row r="9">
      <x:c r="A9" s="1" t="str">
        <x:v>19 September 2026: Q–S contain effective scoped verdicts and admission evidence. A–P and the summary above remain dated history. Counts: 37 scoped Verified, 57 Partial, 3 Unverified, 14 Missing, 4 Deferred; owner approval is separate.</x:v>
      </x:c>
      <x:c r="B9" s="1"/>
      <x:c r="C9" s="1"/>
      <x:c r="D9" s="1"/>
      <x:c r="E9" s="1"/>
      <x:c r="F9" s="1"/>
      <x:c r="G9" s="1"/>
      <x:c r="H9" s="1"/>
      <x:c r="I9" s="1"/>
      <x:c r="J9" s="1"/>
      <x:c r="K9" s="1"/>
      <x:c r="L9" s="1"/>
      <x:c r="M9" s="1"/>
      <x:c r="N9" s="1"/>
      <x:c r="O9" s="1"/>
      <x:c r="P9" s="1"/>
      <x:c r="Q9" s="1"/>
      <x:c r="R9" s="1"/>
      <x:c r="S9" s="1"/>
      <x:c r="T9" s="1"/>
    </x:row>
    <x:row r="10" ht="32" customHeight="1">
      <x:c r="A10" s="8" t="str">
        <x:v>ID</x:v>
      </x:c>
      <x:c r="B10" s="8" t="str">
        <x:v>Area</x:v>
      </x:c>
      <x:c r="C10" s="8" t="str">
        <x:v>Feature</x:v>
      </x:c>
      <x:c r="D10" s="8" t="str">
        <x:v>Aven state</x:v>
      </x:c>
      <x:c r="E10" s="8" t="str">
        <x:v>Aven today</x:v>
      </x:c>
      <x:c r="F10" s="8" t="str">
        <x:v>Grok Bot</x:v>
      </x:c>
      <x:c r="G10" s="8" t="str">
        <x:v>Codex desktop</x:v>
      </x:c>
      <x:c r="H10" s="8" t="str">
        <x:v>Claude Code</x:v>
      </x:c>
      <x:c r="I10" s="8" t="str">
        <x:v>Aven target / next action</x:v>
      </x:c>
      <x:c r="J10" s="8" t="str">
        <x:v>Priority</x:v>
      </x:c>
      <x:c r="K10" s="8" t="str">
        <x:v>Phase</x:v>
      </x:c>
      <x:c r="L10" s="8" t="str">
        <x:v>Dependency</x:v>
      </x:c>
      <x:c r="M10" s="8" t="str">
        <x:v>Acceptance check</x:v>
      </x:c>
      <x:c r="N10" s="8" t="str">
        <x:v>Delivery</x:v>
      </x:c>
      <x:c r="O10" s="8" t="str">
        <x:v>Decision</x:v>
      </x:c>
      <x:c r="P10" s="8" t="str">
        <x:v>Evidence</x:v>
      </x:c>
      <x:c r="Q10" s="8" t="str">
        <x:v>Effective verdict 2026-09-19</x:v>
      </x:c>
      <x:c r="R10" s="8" t="str">
        <x:v>Admission evidence 2026-09-19</x:v>
      </x:c>
      <x:c r="S10" s="8" t="str">
        <x:v>Remaining scope / limits</x:v>
      </x:c>
      <x:c r="T10" s="1"/>
    </x:row>
    <x:row r="11" ht="117" customHeight="1">
      <x:c r="A11" s="14" t="str">
        <x:v>UX-001</x:v>
      </x:c>
      <x:c r="B11" s="15" t="str">
        <x:v>Basics</x:v>
      </x:c>
      <x:c r="C11" s="15" t="str">
        <x:v>Subtle scrollbars</x:v>
      </x:c>
      <x:c r="D11" s="15" t="str">
        <x:v>Present</x:v>
      </x:c>
      <x:c r="E11" s="15" t="str">
        <x:v>Thin scrollbars reveal on hover, focus or scrolling, then fade while idle. Wheel, keyboard, Chromium touch emulation, reduced-motion and forced-colors checked.</x:v>
      </x:c>
      <x:c r="F11" s="15" t="str">
        <x:v>Observed: thin sidebar bar; fade timing untested [G1]</x:v>
      </x:c>
      <x:c r="G11" s="15" t="str">
        <x:v>Observed: restrained scrollbars; fade timing untested [C0]</x:v>
      </x:c>
      <x:c r="H11" s="15" t="str">
        <x:v>Unverified</x:v>
      </x:c>
      <x:c r="I11" s="15" t="str">
        <x:v>Show subtle bars on hover or scroll, then fade. Keep scrolling usable.</x:v>
      </x:c>
      <x:c r="J11" s="15" t="str">
        <x:v>P1</x:v>
      </x:c>
      <x:c r="K11" s="15" t="str">
        <x:v>1 Basics</x:v>
      </x:c>
      <x:c r="L11" s="15" t="str">
        <x:v>CSS overflow investigation</x:v>
      </x:c>
      <x:c r="M11" s="15" t="str">
        <x:v>Mouse, keyboard and touch scrolling work. Idle bars fade. CLI whitespace stays exact.</x:v>
      </x:c>
      <x:c r="N11" s="13" t="str">
        <x:v>Verified</x:v>
      </x:c>
      <x:c r="O11" s="13" t="str">
        <x:v>Agreed</x:v>
      </x:c>
      <x:c r="P11" s="15" t="str">
        <x:v>2026-09-15: .intentgraph/evidence/ux-fixes-2026-09-15/{root-review.json,history-regression.json,reaction-recovery.json}; isolated browser checks exit 0. No provider/device calls; no physical-device or owner acceptance.</x:v>
      </x:c>
      <x:c r="Q11" s="15" t="str">
        <x:v>Verified (scoped)</x:v>
      </x:c>
      <x:c r="R11" s="15" t="str">
        <x:v>No fresh acceptance run in this milestone; inherited dated effective evidence.</x:v>
      </x:c>
      <x:c r="S11" s="15" t="str">
        <x:v>No substantive gap in the original browser interaction slice; assistive-technology and owner visual certification remain outside. Windows behavior, owner UI approval and live provider/device acceptance are not established by this milestone.</x:v>
      </x:c>
      <x:c r="T11" s="1"/>
    </x:row>
    <x:row r="12" ht="117" customHeight="1">
      <x:c r="A12" s="16" t="str">
        <x:v>UX-002</x:v>
      </x:c>
      <x:c r="B12" s="17" t="str">
        <x:v>Basics</x:v>
      </x:c>
      <x:c r="C12" s="17" t="str">
        <x:v>Contain horizontal overflow</x:v>
      </x:c>
      <x:c r="D12" s="17" t="str">
        <x:v>Present</x:v>
      </x:c>
      <x:c r="E12" s="17" t="str">
        <x:v>Long sidebar labels stay contained. Page bounds checked at 1440/1024/768/390; narrow windows collapse the rail. Raw CLI text remains unwrapped and exact.</x:v>
      </x:c>
      <x:c r="F12" s="17" t="str">
        <x:v>Observed: single-line previews fit sidebar [G1]</x:v>
      </x:c>
      <x:c r="G12" s="17" t="str">
        <x:v>Observed: previews fit sidebar [C0]</x:v>
      </x:c>
      <x:c r="H12" s="17" t="str">
        <x:v>Unverified</x:v>
      </x:c>
      <x:c r="I12" s="17" t="str">
        <x:v>Constrain row widths; only raw code and wide tables may scroll sideways.</x:v>
      </x:c>
      <x:c r="J12" s="17" t="str">
        <x:v>P1</x:v>
      </x:c>
      <x:c r="K12" s="17" t="str">
        <x:v>1 Basics</x:v>
      </x:c>
      <x:c r="L12" s="17" t="str">
        <x:v>Long names and CLI fixtures</x:v>
      </x:c>
      <x:c r="M12" s="17" t="str">
        <x:v>No horizontal sidebar or page scroll at agreed desktop widths. Long CLI lines remain copy-exact.</x:v>
      </x:c>
      <x:c r="N12" s="10" t="str">
        <x:v>Verified</x:v>
      </x:c>
      <x:c r="O12" s="10" t="str">
        <x:v>Agreed</x:v>
      </x:c>
      <x:c r="P12" s="17" t="str">
        <x:v>2026-09-15: .intentgraph/evidence/ux-fixes-2026-09-15/{root-review.json,history-regression.json,reaction-recovery.json}; isolated browser checks exit 0. No provider/device calls; no physical-device or owner acceptance.</x:v>
      </x:c>
      <x:c r="Q12" s="17" t="str">
        <x:v>Partial</x:v>
      </x:c>
      <x:c r="R12" s="17" t="str">
        <x:v>No fresh acceptance run in this milestone; inherited dated effective evidence.</x:v>
      </x:c>
      <x:c r="S12" s="17" t="str">
        <x:v>Agreed desktop-width matrix beyond 390px is untested, so full overflow coverage is incomplete. Windows behavior, owner UI approval and live provider/device acceptance are not established by this milestone.</x:v>
      </x:c>
      <x:c r="T12" s="1"/>
    </x:row>
    <x:row r="13" ht="102" customHeight="1">
      <x:c r="A13" s="18" t="str">
        <x:v>UX-003</x:v>
      </x:c>
      <x:c r="B13" s="19" t="str">
        <x:v>Basics</x:v>
      </x:c>
      <x:c r="C13" s="19" t="str">
        <x:v>Account entry</x:v>
      </x:c>
      <x:c r="D13" s="19" t="str">
        <x:v>Present</x:v>
      </x:c>
      <x:c r="E13" s="19" t="str">
        <x:v>Account caret removed; keyboard account menu and Settings remain accessible.</x:v>
      </x:c>
      <x:c r="F13" s="19" t="str">
        <x:v>Observed: account row without that caret [G1]</x:v>
      </x:c>
      <x:c r="G13" s="19" t="str">
        <x:v>Observed: account control at bottom [C0]</x:v>
      </x:c>
      <x:c r="H13" s="19" t="str">
        <x:v>Unverified</x:v>
      </x:c>
      <x:c r="I13" s="19" t="str">
        <x:v>Remove caret while keeping account and Settings access discoverable.</x:v>
      </x:c>
      <x:c r="J13" s="19" t="str">
        <x:v>P2</x:v>
      </x:c>
      <x:c r="K13" s="19" t="str">
        <x:v>1 Basics</x:v>
      </x:c>
      <x:c r="L13" s="19" t="str">
        <x:v>None</x:v>
      </x:c>
      <x:c r="M13" s="19" t="str">
        <x:v>Caret absent; account menu remains keyboard reachable.</x:v>
      </x:c>
      <x:c r="N13" s="10" t="str">
        <x:v>Verified</x:v>
      </x:c>
      <x:c r="O13" s="10" t="str">
        <x:v>Agreed</x:v>
      </x:c>
      <x:c r="P13" s="19" t="str">
        <x:v>2026-09-15: .intentgraph/evidence/ux-fixes-2026-09-15/root-identity-review.json; review-ux-pipeline.cjs --identity-only; exit 0. Isolated Chromium, owner acceptance pending.</x:v>
      </x:c>
      <x:c r="Q13" s="19" t="str">
        <x:v>Verified (scoped)</x:v>
      </x:c>
      <x:c r="R13" s="19" t="str">
        <x:v>No fresh acceptance run in this milestone; inherited dated effective evidence.</x:v>
      </x:c>
      <x:c r="S13" s="19" t="str">
        <x:v>No substantive gap in the original browser interaction slice; assistive-technology certification remains outside. Windows behavior, owner UI approval and live provider/device acceptance are not established by this milestone.</x:v>
      </x:c>
      <x:c r="T13" s="1"/>
    </x:row>
    <x:row r="14" ht="87" customHeight="1">
      <x:c r="A14" s="16" t="str">
        <x:v>UX-004</x:v>
      </x:c>
      <x:c r="B14" s="17" t="str">
        <x:v>Basics</x:v>
      </x:c>
      <x:c r="C14" s="17" t="str">
        <x:v>Selected profile identity</x:v>
      </x:c>
      <x:c r="D14" s="17" t="str">
        <x:v>Present</x:v>
      </x:c>
      <x:c r="E14" s="17" t="str">
        <x:v>Profile heading shows selected coworker name; redundant selector removed. Rename synchronizes profile and conversation.</x:v>
      </x:c>
      <x:c r="F14" s="17" t="str">
        <x:v>Observed: selected bot settings; name field [G1]</x:v>
      </x:c>
      <x:c r="G14" s="17" t="str">
        <x:v>Unverified</x:v>
      </x:c>
      <x:c r="H14" s="17" t="str">
        <x:v>Unverified</x:v>
      </x:c>
      <x:c r="I14" s="17" t="str">
        <x:v>Use actual coworker name as heading. Remove redundant Agent switcher.</x:v>
      </x:c>
      <x:c r="J14" s="17" t="str">
        <x:v>P1</x:v>
      </x:c>
      <x:c r="K14" s="17" t="str">
        <x:v>1 Basics</x:v>
      </x:c>
      <x:c r="L14" s="17" t="str">
        <x:v>Selected chat identity</x:v>
      </x:c>
      <x:c r="M14" s="17" t="str">
        <x:v>Firewall opens firewall profile. Rename synchronizes header. Editing and documents remain accessible.</x:v>
      </x:c>
      <x:c r="N14" s="10" t="str">
        <x:v>Verified</x:v>
      </x:c>
      <x:c r="O14" s="10" t="str">
        <x:v>Agreed</x:v>
      </x:c>
      <x:c r="P14" s="17" t="str">
        <x:v>2026-09-15: root-identity-review.json and root-profile-desktop.png under .intentgraph/evidence/ux-fixes-2026-09-15/; browser test exit 0. Owner acceptance pending.</x:v>
      </x:c>
      <x:c r="Q14" s="17" t="str">
        <x:v>Partial</x:v>
      </x:c>
      <x:c r="R14" s="17" t="str">
        <x:v>No fresh acceptance run in this milestone; inherited dated effective evidence.</x:v>
      </x:c>
      <x:c r="S14" s="17" t="str">
        <x:v>The evidence does not open and edit every selected profile document after rename, so document accessibility is incomplete. Windows behavior, owner UI approval and live provider/device acceptance are not established by this milestone.</x:v>
      </x:c>
      <x:c r="T14" s="1"/>
    </x:row>
    <x:row r="15" ht="117" customHeight="1">
      <x:c r="A15" s="18" t="str">
        <x:v>UX-005</x:v>
      </x:c>
      <x:c r="B15" s="19" t="str">
        <x:v>Basics</x:v>
      </x:c>
      <x:c r="C15" s="19" t="str">
        <x:v>Horizontal reaction panel</x:v>
      </x:c>
      <x:c r="D15" s="19" t="str">
        <x:v>Present</x:v>
      </x:c>
      <x:c r="E15" s="19" t="str">
        <x:v>Six emoji and More form one horizontal row above text actions. Keyboard navigation, viewport bounds and focus return verified. Reply is tracked separately in UX-024.</x:v>
      </x:c>
      <x:c r="F15" s="19" t="str">
        <x:v>Observed: six emoji plus More, above Reply and Copy [G1]</x:v>
      </x:c>
      <x:c r="G15" s="19" t="str">
        <x:v>Unverified</x:v>
      </x:c>
      <x:c r="H15" s="19" t="str">
        <x:v>Unverified</x:v>
      </x:c>
      <x:c r="I15" s="19" t="str">
        <x:v>Reproduce observed compact horizontal row and separate text actions.</x:v>
      </x:c>
      <x:c r="J15" s="19" t="str">
        <x:v>P1</x:v>
      </x:c>
      <x:c r="K15" s="19" t="str">
        <x:v>1 Basics</x:v>
      </x:c>
      <x:c r="L15" s="19" t="str">
        <x:v>G1 message-menu capture</x:v>
      </x:c>
      <x:c r="M15" s="19" t="str">
        <x:v>Row matches reference structure; opens by mouse and keyboard without clipping.</x:v>
      </x:c>
      <x:c r="N15" s="10" t="str">
        <x:v>Verified</x:v>
      </x:c>
      <x:c r="O15" s="10" t="str">
        <x:v>Agreed</x:v>
      </x:c>
      <x:c r="P15" s="19" t="str">
        <x:v>2026-09-15: .intentgraph/evidence/ux-fixes-2026-09-15/{root-review.json,history-regression.json,reaction-recovery.json}; isolated browser checks exit 0. No provider/device calls; no physical-device or owner acceptance.</x:v>
      </x:c>
      <x:c r="Q15" s="19" t="str">
        <x:v>Partial</x:v>
      </x:c>
      <x:c r="R15" s="19" t="str">
        <x:v>No fresh acceptance run in this milestone; inherited dated effective evidence.</x:v>
      </x:c>
      <x:c r="S15" s="19" t="str">
        <x:v>Pointer/keyboard operation and bounds pass, but row structure has no current/reference visual or structural comparison. Windows behavior, owner UI approval and live provider/device acceptance are not established by this milestone.</x:v>
      </x:c>
      <x:c r="T15" s="1"/>
    </x:row>
    <x:row r="16" ht="117" customHeight="1">
      <x:c r="A16" s="16" t="str">
        <x:v>UX-006</x:v>
      </x:c>
      <x:c r="B16" s="17" t="str">
        <x:v>Basics</x:v>
      </x:c>
      <x:c r="C16" s="17" t="str">
        <x:v>One reaction per user</x:v>
      </x:c>
      <x:c r="D16" s="17" t="str">
        <x:v>Present</x:v>
      </x:c>
      <x:c r="E16" s="17" t="str">
        <x:v>One local reaction: selecting another replaces it, selecting the same clears it. Latest legacy reaction retained with raw backup and save-failure recovery.</x:v>
      </x:c>
      <x:c r="F16" s="17" t="str">
        <x:v>Unverified</x:v>
      </x:c>
      <x:c r="G16" s="17" t="str">
        <x:v>Unverified</x:v>
      </x:c>
      <x:c r="H16" s="17" t="str">
        <x:v>Unverified</x:v>
      </x:c>
      <x:c r="I16" s="17" t="str">
        <x:v>New reaction replaces prior selection; same reaction toggles off.</x:v>
      </x:c>
      <x:c r="J16" s="17" t="str">
        <x:v>P1</x:v>
      </x:c>
      <x:c r="K16" s="17" t="str">
        <x:v>1 Basics</x:v>
      </x:c>
      <x:c r="L16" s="17" t="str">
        <x:v>Existing reaction migration</x:v>
      </x:c>
      <x:c r="M16" s="17" t="str">
        <x:v>Select A then B leaves only B. Selecting B clears it. Reload preserves result without losing messages.</x:v>
      </x:c>
      <x:c r="N16" s="10" t="str">
        <x:v>Verified</x:v>
      </x:c>
      <x:c r="O16" s="10" t="str">
        <x:v>Agreed</x:v>
      </x:c>
      <x:c r="P16" s="17" t="str">
        <x:v>2026-09-15: .intentgraph/evidence/ux-fixes-2026-09-15/{root-review.json,history-regression.json,reaction-recovery.json}; isolated browser checks exit 0. No provider/device calls; no physical-device or owner acceptance.</x:v>
      </x:c>
      <x:c r="Q16" s="17" t="str">
        <x:v>Verified (scoped)</x:v>
      </x:c>
      <x:c r="R16" s="17" t="str">
        <x:v>No fresh acceptance run in this milestone; inherited dated effective evidence.</x:v>
      </x:c>
      <x:c r="S16" s="17" t="str">
        <x:v>No substantive gap in the original local interaction slice; concurrent-device synchronization remains outside. Windows behavior, owner UI approval and live provider/device acceptance are not established by this milestone.</x:v>
      </x:c>
      <x:c r="T16" s="1"/>
    </x:row>
    <x:row r="17" ht="117" customHeight="1">
      <x:c r="A17" s="14" t="str">
        <x:v>UX-007</x:v>
      </x:c>
      <x:c r="B17" s="15" t="str">
        <x:v>Navigation</x:v>
      </x:c>
      <x:c r="C17" s="15" t="str">
        <x:v>Coworker-first entry</x:v>
      </x:c>
      <x:c r="D17" s="15" t="str">
        <x:v>Present</x:v>
      </x:c>
      <x:c r="E17" s="15" t="str">
        <x:v>Coworker-first creation and navigation. Existing grouped histories remain reachable under Conversations; archive/revert/drafts/queue regressions pass.</x:v>
      </x:c>
      <x:c r="F17" s="15" t="str">
        <x:v>Observed: direct bot list; New Bot and New Channel [G1]</x:v>
      </x:c>
      <x:c r="G17" s="15" t="str">
        <x:v>Observed: task and project organization [C0]</x:v>
      </x:c>
      <x:c r="H17" s="15" t="str">
        <x:v>Documented: session and folder organization [D1]</x:v>
      </x:c>
      <x:c r="I17" s="15" t="str">
        <x:v>Choose named coworker and chat. Remove Teams from primary experience.</x:v>
      </x:c>
      <x:c r="J17" s="15" t="str">
        <x:v>P1</x:v>
      </x:c>
      <x:c r="K17" s="15" t="str">
        <x:v>1 Basics</x:v>
      </x:c>
      <x:c r="L17" s="15" t="str">
        <x:v>Preserve and expose all existing grouped histories</x:v>
      </x:c>
      <x:c r="M17" s="15" t="str">
        <x:v>New user can start a named conversation without understanding teams. Existing chats, drafts, queues and avatars remain accessible.</x:v>
      </x:c>
      <x:c r="N17" s="13" t="str">
        <x:v>Verified</x:v>
      </x:c>
      <x:c r="O17" s="13" t="str">
        <x:v>Agreed</x:v>
      </x:c>
      <x:c r="P17" s="15" t="str">
        <x:v>2026-09-15: .intentgraph/evidence/ux-fixes-2026-09-15/{root-review.json,history-regression.json,reaction-recovery.json}; isolated browser checks exit 0. No provider/device calls; no physical-device or owner acceptance.</x:v>
      </x:c>
      <x:c r="Q17" s="15" t="str">
        <x:v>Partial</x:v>
      </x:c>
      <x:c r="R17" s="15" t="str">
        <x:v>No fresh acceptance run in this milestone; inherited dated effective evidence.</x:v>
      </x:c>
      <x:c r="S17" s="15" t="str">
        <x:v>The seeded test proves direct/grouped history, queue and avatar reachability, but does not exercise a new-user named-conversation start path. Windows behavior, owner UI approval and live provider/device acceptance are not established by this milestone.</x:v>
      </x:c>
      <x:c r="T17" s="1"/>
    </x:row>
    <x:row r="18" ht="117" customHeight="1">
      <x:c r="A18" s="16" t="str">
        <x:v>UX-008</x:v>
      </x:c>
      <x:c r="B18" s="17" t="str">
        <x:v>Navigation</x:v>
      </x:c>
      <x:c r="C18" s="17" t="str">
        <x:v>Stable conversation header</x:v>
      </x:c>
      <x:c r="D18" s="17" t="str">
        <x:v>Present</x:v>
      </x:c>
      <x:c r="E18" s="17" t="str">
        <x:v>Selected coworker name remains in center header.</x:v>
      </x:c>
      <x:c r="F18" s="17" t="str">
        <x:v>Observed: persistent bot name [G1]</x:v>
      </x:c>
      <x:c r="G18" s="17" t="str">
        <x:v>Observed: persistent task title [C0]</x:v>
      </x:c>
      <x:c r="H18" s="17" t="str">
        <x:v>Documented: session title [D1]</x:v>
      </x:c>
      <x:c r="I18" s="17" t="str">
        <x:v>Keep stable identity during sending, streaming and pane changes.</x:v>
      </x:c>
      <x:c r="J18" s="17" t="str">
        <x:v>P2</x:v>
      </x:c>
      <x:c r="K18" s="17" t="str">
        <x:v>Keep</x:v>
      </x:c>
      <x:c r="L18" s="17" t="str">
        <x:v>Regression verification</x:v>
      </x:c>
      <x:c r="M18" s="17" t="str">
        <x:v>Short first message never replaces coworker identity.</x:v>
      </x:c>
      <x:c r="N18" s="10" t="str">
        <x:v>Verified</x:v>
      </x:c>
      <x:c r="O18" s="10" t="str">
        <x:v>Preserve</x:v>
      </x:c>
      <x:c r="P18" s="17" t="str">
        <x:v>2026-09-16: preservation audit PASS. .intentgraph/evidence/ux-fixes-2026-09-15/history-regression.json (stable coworker title after hi); .intentgraph/runtime/verify-direct-teams.cjs:8,12 Owner acceptance remains separate.</x:v>
      </x:c>
      <x:c r="Q18" s="17" t="str">
        <x:v>Verified (scoped)</x:v>
      </x:c>
      <x:c r="R18" s="17" t="str">
        <x:v>No fresh acceptance run in this milestone; inherited dated effective evidence.</x:v>
      </x:c>
      <x:c r="S18" s="17" t="str">
        <x:v>No substantive gap in the original UI identity slice; the provider stream is intentionally mocked/blocked. Windows behavior, owner UI approval and live provider/device acceptance are not established by this milestone.</x:v>
      </x:c>
      <x:c r="T18" s="1"/>
    </x:row>
    <x:row r="19" ht="72" customHeight="1">
      <x:c r="A19" s="18" t="str">
        <x:v>UX-009</x:v>
      </x:c>
      <x:c r="B19" s="19" t="str">
        <x:v>Navigation</x:v>
      </x:c>
      <x:c r="C19" s="19" t="str">
        <x:v>Sidebar previews</x:v>
      </x:c>
      <x:c r="D19" s="19" t="str">
        <x:v>Present</x:v>
      </x:c>
      <x:c r="E19" s="19" t="str">
        <x:v>Readable plain-text sidebar previews; full stored Markdown and message text are unchanged.</x:v>
      </x:c>
      <x:c r="F19" s="19" t="str">
        <x:v>Observed: name, preview, time and unread dot [G1]</x:v>
      </x:c>
      <x:c r="G19" s="19" t="str">
        <x:v>Observed: titles and activity indicators [C0]</x:v>
      </x:c>
      <x:c r="H19" s="19" t="str">
        <x:v>Documented: session sidebar [D1]</x:v>
      </x:c>
      <x:c r="I19" s="19" t="str">
        <x:v>Use plain-text previews with time and useful state.</x:v>
      </x:c>
      <x:c r="J19" s="19" t="str">
        <x:v>P2</x:v>
      </x:c>
      <x:c r="K19" s="19" t="str">
        <x:v>2 Chat</x:v>
      </x:c>
      <x:c r="L19" s="19" t="str">
        <x:v>Message text normalization</x:v>
      </x:c>
      <x:c r="M19" s="19" t="str">
        <x:v>Markdown table syntax and code fences do not overwhelm the row. Full title remains accessible.</x:v>
      </x:c>
      <x:c r="N19" s="10" t="str">
        <x:v>Verified</x:v>
      </x:c>
      <x:c r="O19" s="10" t="str">
        <x:v>Proposed</x:v>
      </x:c>
      <x:c r="P19" s="19" t="str">
        <x:v>2026-09-15: .intentgraph/evidence/ux-fixes-2026-09-15/local-commands.json; browser test exit 0. Mocked requests; owner acceptance pending.</x:v>
      </x:c>
      <x:c r="Q19" s="19" t="str">
        <x:v>Verified (scoped)</x:v>
      </x:c>
      <x:c r="R19" s="19" t="str">
        <x:v>No fresh acceptance run in this milestone; inherited dated effective evidence.</x:v>
      </x:c>
      <x:c r="S19" s="19" t="str">
        <x:v>No substantive gap in the tested acceptance slice; only the seeded narrow width and title matrix were exercised. Windows behavior, owner UI approval and live provider/device acceptance are not established by this milestone.</x:v>
      </x:c>
      <x:c r="T19" s="1"/>
    </x:row>
    <x:row r="20" ht="72" customHeight="1">
      <x:c r="A20" s="16" t="str">
        <x:v>UX-010</x:v>
      </x:c>
      <x:c r="B20" s="17" t="str">
        <x:v>Navigation</x:v>
      </x:c>
      <x:c r="C20" s="17" t="str">
        <x:v>Pin important conversations</x:v>
      </x:c>
      <x:c r="D20" s="17" t="str">
        <x:v>Present</x:v>
      </x:c>
      <x:c r="E20" s="17" t="str">
        <x:v>Pin controls exposed for conversations.</x:v>
      </x:c>
      <x:c r="F20" s="17" t="str">
        <x:v>Unverified</x:v>
      </x:c>
      <x:c r="G20" s="17" t="str">
        <x:v>Documented: pin chats and projects [C2]</x:v>
      </x:c>
      <x:c r="H20" s="17" t="str">
        <x:v>Documented: session organization [D1]</x:v>
      </x:c>
      <x:c r="I20" s="17" t="str">
        <x:v>Keep pin behavior and make state obvious.</x:v>
      </x:c>
      <x:c r="J20" s="17" t="str">
        <x:v>P2</x:v>
      </x:c>
      <x:c r="K20" s="17" t="str">
        <x:v>Keep</x:v>
      </x:c>
      <x:c r="L20" s="17" t="str">
        <x:v>Persistence regression</x:v>
      </x:c>
      <x:c r="M20" s="17" t="str">
        <x:v>Pinned items remain accessible and retain order after reload.</x:v>
      </x:c>
      <x:c r="N20" s="10" t="str">
        <x:v>Verified</x:v>
      </x:c>
      <x:c r="O20" s="10" t="str">
        <x:v>Preserve</x:v>
      </x:c>
      <x:c r="P20" s="17" t="str">
        <x:v>2026-09-16: preservation audit PASS. .intentgraph/evidence/project-navigation.json (pin/reload/order) Owner acceptance remains separate.</x:v>
      </x:c>
      <x:c r="Q20" s="17" t="str">
        <x:v>Verified (scoped)</x:v>
      </x:c>
      <x:c r="R20" s="17" t="str">
        <x:v>No fresh acceptance run in this milestone; inherited dated effective evidence.</x:v>
      </x:c>
      <x:c r="S20" s="17" t="str">
        <x:v>No substantive gap in the original local persistence slice; cross-device ordering remains outside. Windows behavior, owner UI approval and live provider/device acceptance are not established by this milestone.</x:v>
      </x:c>
      <x:c r="T20" s="1"/>
    </x:row>
    <x:row r="21" ht="102" customHeight="1">
      <x:c r="A21" s="18" t="str">
        <x:v>UX-011</x:v>
      </x:c>
      <x:c r="B21" s="19" t="str">
        <x:v>Navigation</x:v>
      </x:c>
      <x:c r="C21" s="19" t="str">
        <x:v>Rename conversations</x:v>
      </x:c>
      <x:c r="D21" s="19" t="str">
        <x:v>Present</x:v>
      </x:c>
      <x:c r="E21" s="19" t="str">
        <x:v>Chat actions and naming flows exist.</x:v>
      </x:c>
      <x:c r="F21" s="19" t="str">
        <x:v>Unverified</x:v>
      </x:c>
      <x:c r="G21" s="19" t="str">
        <x:v>Documented: rename chats [C2]</x:v>
      </x:c>
      <x:c r="H21" s="19" t="str">
        <x:v>Documented: session management [D1]</x:v>
      </x:c>
      <x:c r="I21" s="19" t="str">
        <x:v>Keep rename distinct from coworker rename.</x:v>
      </x:c>
      <x:c r="J21" s="19" t="str">
        <x:v>P2</x:v>
      </x:c>
      <x:c r="K21" s="19" t="str">
        <x:v>Keep</x:v>
      </x:c>
      <x:c r="L21" s="19" t="str">
        <x:v>Identity rules</x:v>
      </x:c>
      <x:c r="M21" s="19" t="str">
        <x:v>Renaming a conversation never renames its coworker unexpectedly.</x:v>
      </x:c>
      <x:c r="N21" s="10" t="str">
        <x:v>Verified</x:v>
      </x:c>
      <x:c r="O21" s="10" t="str">
        <x:v>Preserve</x:v>
      </x:c>
      <x:c r="P21" s="19" t="str">
        <x:v>2026-09-16: preservation audit PASS. .intentgraph/evidence/pending-88-20260916/preserved-audit.json (chatTitle changed; coworkerName unchanged) Owner acceptance remains separate.</x:v>
      </x:c>
      <x:c r="Q21" s="19" t="str">
        <x:v>Verified (scoped)</x:v>
      </x:c>
      <x:c r="R21" s="19" t="str">
        <x:v>No fresh acceptance run in this milestone; inherited dated effective evidence.</x:v>
      </x:c>
      <x:c r="S21" s="19" t="str">
        <x:v>No substantive gap in the original direct-conversation slice; broader multi-user synchronization remains outside. Windows behavior, owner UI approval and live provider/device acceptance are not established by this milestone.</x:v>
      </x:c>
      <x:c r="T21" s="1"/>
    </x:row>
    <x:row r="22" ht="102" customHeight="1">
      <x:c r="A22" s="16" t="str">
        <x:v>UX-012</x:v>
      </x:c>
      <x:c r="B22" s="17" t="str">
        <x:v>Navigation</x:v>
      </x:c>
      <x:c r="C22" s="17" t="str">
        <x:v>Sections and ordering</x:v>
      </x:c>
      <x:c r="D22" s="17" t="str">
        <x:v>Present</x:v>
      </x:c>
      <x:c r="E22" s="17" t="str">
        <x:v>Sections can be renamed and moved up/down. Boundaries are disabled, order persists after reload, and failed saves preserve order and focus. Grouping retains existing conversation histories.</x:v>
      </x:c>
      <x:c r="F22" s="17" t="str">
        <x:v>Observed: Direct and custom sections [G1]</x:v>
      </x:c>
      <x:c r="G22" s="17" t="str">
        <x:v>Observed: Pinned and Projects [C0]</x:v>
      </x:c>
      <x:c r="H22" s="17" t="str">
        <x:v>Documented: sessions grouped in sidebar [D1]</x:v>
      </x:c>
      <x:c r="I22" s="17" t="str">
        <x:v>Use optional lightweight folders after coworker-first entry is clear.</x:v>
      </x:c>
      <x:c r="J22" s="17" t="str">
        <x:v>P2</x:v>
      </x:c>
      <x:c r="K22" s="17" t="str">
        <x:v>2 Chat</x:v>
      </x:c>
      <x:c r="L22" s="17" t="str">
        <x:v>UX-007</x:v>
      </x:c>
      <x:c r="M22" s="17" t="str">
        <x:v>Grouping never implies coordinated agent execution or hides old histories.</x:v>
      </x:c>
      <x:c r="N22" s="10" t="str">
        <x:v>Verified</x:v>
      </x:c>
      <x:c r="O22" s="10" t="str">
        <x:v>Proposed</x:v>
      </x:c>
      <x:c r="P22" s="17" t="str">
        <x:v>2026-09-16: navigation.json; isolated browser test exit 0. Section boundaries, reload, failed-save atomicity and focus verified. Owner acceptance pending.</x:v>
      </x:c>
      <x:c r="Q22" s="17" t="str">
        <x:v>Partial</x:v>
      </x:c>
      <x:c r="R22" s="17" t="str">
        <x:v>No fresh acceptance run in this milestone; inherited dated effective evidence.</x:v>
      </x:c>
      <x:c r="S22" s="17" t="str">
        <x:v>DOM separation and old-row reachability pass, but the evidence does not assert labels/affordances cannot imply coordinated execution. Windows behavior, owner UI approval and live provider/device acceptance are not established by this milestone.</x:v>
      </x:c>
      <x:c r="T22" s="1"/>
    </x:row>
    <x:row r="23" ht="132" customHeight="1">
      <x:c r="A23" s="18" t="str">
        <x:v>UX-013</x:v>
      </x:c>
      <x:c r="B23" s="19" t="str">
        <x:v>Navigation</x:v>
      </x:c>
      <x:c r="C23" s="19" t="str">
        <x:v>Sidebar collapse and resize</x:v>
      </x:c>
      <x:c r="D23" s="19" t="str">
        <x:v>Present</x:v>
      </x:c>
      <x:c r="E23" s="19" t="str">
        <x:v>Collapse and resize controls implemented.</x:v>
      </x:c>
      <x:c r="F23" s="19" t="str">
        <x:v>Unverified</x:v>
      </x:c>
      <x:c r="G23" s="19" t="str">
        <x:v>Observed: collapsible sidebar and split pane [C0]</x:v>
      </x:c>
      <x:c r="H23" s="19" t="str">
        <x:v>Documented: adjustable pane layout [D1]</x:v>
      </x:c>
      <x:c r="I23" s="19" t="str">
        <x:v>Preserve width and keyboard resizing.</x:v>
      </x:c>
      <x:c r="J23" s="19" t="str">
        <x:v>P2</x:v>
      </x:c>
      <x:c r="K23" s="19" t="str">
        <x:v>Keep</x:v>
      </x:c>
      <x:c r="L23" s="19" t="str">
        <x:v>Responsive checks</x:v>
      </x:c>
      <x:c r="M23" s="19" t="str">
        <x:v>Collapse and resize leave active chat and composer usable.</x:v>
      </x:c>
      <x:c r="N23" s="10" t="str">
        <x:v>Verified</x:v>
      </x:c>
      <x:c r="O23" s="10" t="str">
        <x:v>Preserve</x:v>
      </x:c>
      <x:c r="P23" s="19" t="str">
        <x:v>2026-09-16: preservation audit PASS. .intentgraph/evidence/pending-88-20260916/accessibility-results.json (UX096 PASS at 320/390/760/1440; page/body bounds); .intentgraph/evidence/project-navigation.json (persistent collapse) Owner acceptance remains separate.</x:v>
      </x:c>
      <x:c r="Q23" s="19" t="str">
        <x:v>Verified (scoped)</x:v>
      </x:c>
      <x:c r="R23" s="19" t="str">
        <x:v>No fresh acceptance run in this milestone; inherited dated effective evidence.</x:v>
      </x:c>
      <x:c r="S23" s="19" t="str">
        <x:v>No substantive gap in the original browser slice; assistive-technology certification remains outside. Windows behavior, owner UI approval and live provider/device acceptance are not established by this milestone.</x:v>
      </x:c>
      <x:c r="T23" s="1"/>
    </x:row>
    <x:row r="24" ht="102" customHeight="1">
      <x:c r="A24" s="16" t="str">
        <x:v>UX-014</x:v>
      </x:c>
      <x:c r="B24" s="17" t="str">
        <x:v>Navigation</x:v>
      </x:c>
      <x:c r="C24" s="17" t="str">
        <x:v>Back and forward navigation</x:v>
      </x:c>
      <x:c r="D24" s="17" t="str">
        <x:v>Present</x:v>
      </x:c>
      <x:c r="E24" s="17" t="str">
        <x:v>Internal conversation Back/Forward preserves each draft and scroll position. Valid session history survives reload; new visits truncate forward history. Unsaved document guards remain active.</x:v>
      </x:c>
      <x:c r="F24" s="17" t="str">
        <x:v>Unverified</x:v>
      </x:c>
      <x:c r="G24" s="17" t="str">
        <x:v>Observed: back and forward controls [C0]</x:v>
      </x:c>
      <x:c r="H24" s="17" t="str">
        <x:v>Unverified</x:v>
      </x:c>
      <x:c r="I24" s="17" t="str">
        <x:v>Add predictable history navigation if user workflows require it.</x:v>
      </x:c>
      <x:c r="J24" s="17" t="str">
        <x:v>P3</x:v>
      </x:c>
      <x:c r="K24" s="17" t="str">
        <x:v>2 Chat</x:v>
      </x:c>
      <x:c r="L24" s="17" t="str">
        <x:v>Navigation state review</x:v>
      </x:c>
      <x:c r="M24" s="17" t="str">
        <x:v>Back returns to previous chat without dropping draft or executing a request.</x:v>
      </x:c>
      <x:c r="N24" s="10" t="str">
        <x:v>Verified</x:v>
      </x:c>
      <x:c r="O24" s="10" t="str">
        <x:v>Investigate</x:v>
      </x:c>
      <x:c r="P24" s="17" t="str">
        <x:v>2026-09-16: navigation.json; isolated browser test exit 0. Draft/scroll, reload, forward history, invalid storage, unsaved guards and 320-1440px bounds verified. No provider calls. Owner acceptance pending.</x:v>
      </x:c>
      <x:c r="Q24" s="17" t="str">
        <x:v>Verified (scoped)</x:v>
      </x:c>
      <x:c r="R24" s="17" t="str">
        <x:v>No fresh acceptance run in this milestone; inherited dated effective evidence.</x:v>
      </x:c>
      <x:c r="S24" s="17" t="str">
        <x:v>No substantive gap in the tested local session-history slice; cross-session/device history is outside. Windows behavior, owner UI approval and live provider/device acceptance are not established by this milestone.</x:v>
      </x:c>
      <x:c r="T24" s="1"/>
    </x:row>
    <x:row r="25" ht="117" customHeight="1">
      <x:c r="A25" s="14" t="str">
        <x:v>UX-015</x:v>
      </x:c>
      <x:c r="B25" s="15" t="str">
        <x:v>Search</x:v>
      </x:c>
      <x:c r="C25" s="15" t="str">
        <x:v>Workspace search</x:v>
      </x:c>
      <x:c r="D25" s="15" t="str">
        <x:v>Present</x:v>
      </x:c>
      <x:c r="E25" s="15" t="str">
        <x:v>Dialog searches names, saved messages and attachment names.</x:v>
      </x:c>
      <x:c r="F25" s="15" t="str">
        <x:v>Observed: search field [G1]</x:v>
      </x:c>
      <x:c r="G25" s="15" t="str">
        <x:v>Documented: search chats [C2]</x:v>
      </x:c>
      <x:c r="H25" s="15" t="str">
        <x:v>Documented: session search [D1]</x:v>
      </x:c>
      <x:c r="I25" s="15" t="str">
        <x:v>Keep local search with clear scope and keyboard entry.</x:v>
      </x:c>
      <x:c r="J25" s="15" t="str">
        <x:v>P2</x:v>
      </x:c>
      <x:c r="K25" s="15" t="str">
        <x:v>Keep</x:v>
      </x:c>
      <x:c r="L25" s="15" t="str">
        <x:v>Result accuracy checks</x:v>
      </x:c>
      <x:c r="M25" s="15" t="str">
        <x:v>Known saved phrase resolves to the correct conversation.</x:v>
      </x:c>
      <x:c r="N25" s="13" t="str">
        <x:v>Verified</x:v>
      </x:c>
      <x:c r="O25" s="13" t="str">
        <x:v>Preserve</x:v>
      </x:c>
      <x:c r="P25" s="15" t="str">
        <x:v>2026-09-16: preservation audit PASS. .intentgraph/evidence/ux-fixes-2026-09-15/history-navigation.json (saved phrase, coworker/conversation filters, exact result navigation) Owner acceptance remains separate.</x:v>
      </x:c>
      <x:c r="Q25" s="15" t="str">
        <x:v>Verified (scoped)</x:v>
      </x:c>
      <x:c r="R25" s="15" t="str">
        <x:v>No fresh acceptance run in this milestone; inherited dated effective evidence.</x:v>
      </x:c>
      <x:c r="S25" s="15" t="str">
        <x:v>No substantive gap for the seeded known phrase; search-index breadth beyond local fixture data is outside. Windows behavior, owner UI approval and live provider/device acceptance are not established by this milestone.</x:v>
      </x:c>
      <x:c r="T25" s="1"/>
    </x:row>
    <x:row r="26" ht="87" customHeight="1">
      <x:c r="A26" s="16" t="str">
        <x:v>UX-016</x:v>
      </x:c>
      <x:c r="B26" s="17" t="str">
        <x:v>Search</x:v>
      </x:c>
      <x:c r="C26" s="17" t="str">
        <x:v>Search filters and results</x:v>
      </x:c>
      <x:c r="D26" s="17" t="str">
        <x:v>Present</x:v>
      </x:c>
      <x:c r="E26" s="17" t="str">
        <x:v>Coworker, conversation and result-type filters; snippets, destinations, empty state and exact message focus verified.</x:v>
      </x:c>
      <x:c r="F26" s="17" t="str">
        <x:v>Unverified</x:v>
      </x:c>
      <x:c r="G26" s="17" t="str">
        <x:v>Documented: project and chat search [C2]</x:v>
      </x:c>
      <x:c r="H26" s="17" t="str">
        <x:v>Unverified</x:v>
      </x:c>
      <x:c r="I26" s="17" t="str">
        <x:v>Show result type, snippet and destination; make empty results useful.</x:v>
      </x:c>
      <x:c r="J26" s="17" t="str">
        <x:v>P2</x:v>
      </x:c>
      <x:c r="K26" s="17" t="str">
        <x:v>2 Chat</x:v>
      </x:c>
      <x:c r="L26" s="17" t="str">
        <x:v>Search index</x:v>
      </x:c>
      <x:c r="M26" s="17" t="str">
        <x:v>Filter by coworker or conversation and open exact result context.</x:v>
      </x:c>
      <x:c r="N26" s="10" t="str">
        <x:v>Verified</x:v>
      </x:c>
      <x:c r="O26" s="10" t="str">
        <x:v>Proposed</x:v>
      </x:c>
      <x:c r="P26" s="17" t="str">
        <x:v>2026-09-15: .intentgraph/evidence/ux-fixes-2026-09-15/history-navigation.json; verify-history-navigation.cjs exit 0. Isolated mocked chat; owner acceptance pending.</x:v>
      </x:c>
      <x:c r="Q26" s="17" t="str">
        <x:v>Verified (scoped)</x:v>
      </x:c>
      <x:c r="R26" s="17" t="str">
        <x:v>No fresh acceptance run in this milestone; inherited dated effective evidence.</x:v>
      </x:c>
      <x:c r="S26" s="17" t="str">
        <x:v>No substantive gap for the seeded duplicate-term filter result; broader external-index behavior is outside. Windows behavior, owner UI approval and live provider/device acceptance are not established by this milestone.</x:v>
      </x:c>
      <x:c r="T26" s="1"/>
    </x:row>
    <x:row r="27" ht="87" customHeight="1">
      <x:c r="A27" s="18" t="str">
        <x:v>UX-017</x:v>
      </x:c>
      <x:c r="B27" s="19" t="str">
        <x:v>Search</x:v>
      </x:c>
      <x:c r="C27" s="19" t="str">
        <x:v>Find within conversation</x:v>
      </x:c>
      <x:c r="D27" s="19" t="str">
        <x:v>Present</x:v>
      </x:c>
      <x:c r="E27" s="19" t="str">
        <x:v>In-conversation find with Ctrl/Cmd+F, occurrence count, previous/next, exact text highlights and focus restoration.</x:v>
      </x:c>
      <x:c r="F27" s="19" t="str">
        <x:v>Unverified</x:v>
      </x:c>
      <x:c r="G27" s="19" t="str">
        <x:v>Documented: find in chat [C4]</x:v>
      </x:c>
      <x:c r="H27" s="19" t="str">
        <x:v>Documented: transcript search [D2]</x:v>
      </x:c>
      <x:c r="I27" s="19" t="str">
        <x:v>Add match count, previous/next, and scroll-to-message.</x:v>
      </x:c>
      <x:c r="J27" s="19" t="str">
        <x:v>P2</x:v>
      </x:c>
      <x:c r="K27" s="19" t="str">
        <x:v>2 Chat</x:v>
      </x:c>
      <x:c r="L27" s="19" t="str">
        <x:v>Message IDs</x:v>
      </x:c>
      <x:c r="M27" s="19" t="str">
        <x:v>Searching a repeated term visits every match without losing composer draft.</x:v>
      </x:c>
      <x:c r="N27" s="10" t="str">
        <x:v>Verified</x:v>
      </x:c>
      <x:c r="O27" s="10" t="str">
        <x:v>Proposed</x:v>
      </x:c>
      <x:c r="P27" s="19" t="str">
        <x:v>2026-09-15: .intentgraph/evidence/ux-fixes-2026-09-15/chat-interactions.json; verify-chat-interactions.cjs exit 0. Mocked requests; owner acceptance pending.</x:v>
      </x:c>
      <x:c r="Q27" s="19" t="str">
        <x:v>Verified (scoped)</x:v>
      </x:c>
      <x:c r="R27" s="19" t="str">
        <x:v>No fresh acceptance run in this milestone; inherited dated effective evidence.</x:v>
      </x:c>
      <x:c r="S27" s="19" t="str">
        <x:v>No substantive gap for the seeded repeated-term cycle; cross-conversation find scope is outside. Windows behavior, owner UI approval and live provider/device acceptance are not established by this milestone.</x:v>
      </x:c>
      <x:c r="T27" s="1"/>
    </x:row>
    <x:row r="28" ht="72" customHeight="1">
      <x:c r="A28" s="16" t="str">
        <x:v>UX-018</x:v>
      </x:c>
      <x:c r="B28" s="17" t="str">
        <x:v>Search</x:v>
      </x:c>
      <x:c r="C28" s="17" t="str">
        <x:v>Command palette</x:v>
      </x:c>
      <x:c r="D28" s="17" t="str">
        <x:v>Present</x:v>
      </x:c>
      <x:c r="E28" s="17" t="str">
        <x:v>Searchable command palette with keyboard navigation, context availability, modal safety and focus restoration.</x:v>
      </x:c>
      <x:c r="F28" s="17" t="str">
        <x:v>Unverified</x:v>
      </x:c>
      <x:c r="G28" s="17" t="str">
        <x:v>Documented: command menu [C4]</x:v>
      </x:c>
      <x:c r="H28" s="17" t="str">
        <x:v>Documented: slash command list [D2]</x:v>
      </x:c>
      <x:c r="I28" s="17" t="str">
        <x:v>Add searchable actions with shortcuts, disabled reasons and context.</x:v>
      </x:c>
      <x:c r="J28" s="17" t="str">
        <x:v>P2</x:v>
      </x:c>
      <x:c r="K28" s="17" t="str">
        <x:v>2 Chat</x:v>
      </x:c>
      <x:c r="L28" s="17" t="str">
        <x:v>Stable action registry</x:v>
      </x:c>
      <x:c r="M28" s="17" t="str">
        <x:v>Keyboard opens palette; selected action works in current chat; Escape restores focus.</x:v>
      </x:c>
      <x:c r="N28" s="10" t="str">
        <x:v>Verified</x:v>
      </x:c>
      <x:c r="O28" s="10" t="str">
        <x:v>Proposed</x:v>
      </x:c>
      <x:c r="P28" s="17" t="str">
        <x:v>2026-09-15: .intentgraph/evidence/ux-fixes-2026-09-15/local-commands.json; browser test exit 0. Mocked requests; owner acceptance pending.</x:v>
      </x:c>
      <x:c r="Q28" s="17" t="str">
        <x:v>Verified (scoped)</x:v>
      </x:c>
      <x:c r="R28" s="17" t="str">
        <x:v>No fresh acceptance run in this milestone; inherited dated effective evidence.</x:v>
      </x:c>
      <x:c r="S28" s="17" t="str">
        <x:v>No substantive gap in the tested current-chat palette flow; OS-level shortcut conflicts remain outside. Windows behavior, owner UI approval and live provider/device acceptance are not established by this milestone.</x:v>
      </x:c>
      <x:c r="T28" s="1"/>
    </x:row>
    <x:row r="29" ht="102" customHeight="1">
      <x:c r="A29" s="14" t="str">
        <x:v>UX-019</x:v>
      </x:c>
      <x:c r="B29" s="15" t="str">
        <x:v>Composer</x:v>
      </x:c>
      <x:c r="C29" s="15" t="str">
        <x:v>Multiline input and send</x:v>
      </x:c>
      <x:c r="D29" s="15" t="str">
        <x:v>Present</x:v>
      </x:c>
      <x:c r="E29" s="15" t="str">
        <x:v>Textarea, attachment button and disabled-empty send.</x:v>
      </x:c>
      <x:c r="F29" s="15" t="str">
        <x:v>Observed: compact message field [G1]</x:v>
      </x:c>
      <x:c r="G29" s="15" t="str">
        <x:v>Observed: composer with send/stop [C0]</x:v>
      </x:c>
      <x:c r="H29" s="15" t="str">
        <x:v>Documented: prompt input [D1]</x:v>
      </x:c>
      <x:c r="I29" s="15" t="str">
        <x:v>Keep familiar Enter and Shift+Enter behavior and a compact idle composer.</x:v>
      </x:c>
      <x:c r="J29" s="15" t="str">
        <x:v>P2</x:v>
      </x:c>
      <x:c r="K29" s="15" t="str">
        <x:v>Keep</x:v>
      </x:c>
      <x:c r="L29" s="15" t="str">
        <x:v>IME and long-input checks</x:v>
      </x:c>
      <x:c r="M29" s="15" t="str">
        <x:v>Empty send disabled. Multiline text and IME composition do not send accidentally.</x:v>
      </x:c>
      <x:c r="N29" s="13" t="str">
        <x:v>Verified</x:v>
      </x:c>
      <x:c r="O29" s="13" t="str">
        <x:v>Preserve</x:v>
      </x:c>
      <x:c r="P29" s="15" t="str">
        <x:v>2026-09-16: preservation audit PASS. .intentgraph/evidence/pending-88-20260916/preserved-audit.json (emptyDisabled=true, multilineHeld=true, imeHeld=true, calls=0) Owner acceptance remains separate.</x:v>
      </x:c>
      <x:c r="Q29" s="15" t="str">
        <x:v>Partial</x:v>
      </x:c>
      <x:c r="R29" s="15" t="str">
        <x:v>No fresh acceptance run in this milestone; inherited dated effective evidence.</x:v>
      </x:c>
      <x:c r="S29" s="15" t="str">
        <x:v>IME composition was not simulated. Windows behavior, owner UI approval and live provider/device acceptance are not established by this milestone.</x:v>
      </x:c>
      <x:c r="T29" s="1"/>
    </x:row>
    <x:row r="30" ht="102" customHeight="1">
      <x:c r="A30" s="16" t="str">
        <x:v>UX-020</x:v>
      </x:c>
      <x:c r="B30" s="17" t="str">
        <x:v>Composer</x:v>
      </x:c>
      <x:c r="C30" s="17" t="str">
        <x:v>Draft preservation</x:v>
      </x:c>
      <x:c r="D30" s="17" t="str">
        <x:v>Present</x:v>
      </x:c>
      <x:c r="E30" s="17" t="str">
        <x:v>Per-chat drafts are stored locally.</x:v>
      </x:c>
      <x:c r="F30" s="17" t="str">
        <x:v>Unverified</x:v>
      </x:c>
      <x:c r="G30" s="17" t="str">
        <x:v>Unverified</x:v>
      </x:c>
      <x:c r="H30" s="17" t="str">
        <x:v>Documented: session context [D1]</x:v>
      </x:c>
      <x:c r="I30" s="17" t="str">
        <x:v>Preserve drafts across chat switches and reload.</x:v>
      </x:c>
      <x:c r="J30" s="17" t="str">
        <x:v>P1</x:v>
      </x:c>
      <x:c r="K30" s="17" t="str">
        <x:v>Keep</x:v>
      </x:c>
      <x:c r="L30" s="17" t="str">
        <x:v>Storage regression</x:v>
      </x:c>
      <x:c r="M30" s="17" t="str">
        <x:v>Two chats retain different unsent drafts after switching and reload.</x:v>
      </x:c>
      <x:c r="N30" s="10" t="str">
        <x:v>Verified</x:v>
      </x:c>
      <x:c r="O30" s="10" t="str">
        <x:v>Preserve</x:v>
      </x:c>
      <x:c r="P30" s="17" t="str">
        <x:v>2026-09-16: preservation audit PASS. .intentgraph/evidence/ux-pipeline-2026-09-16/navigation.json (back/forward preserves two drafts and reload) Owner acceptance remains separate.</x:v>
      </x:c>
      <x:c r="Q30" s="17" t="str">
        <x:v>Unverified</x:v>
      </x:c>
      <x:c r="R30" s="17" t="str">
        <x:v>No fresh acceptance run in this milestone; inherited dated effective evidence.</x:v>
      </x:c>
      <x:c r="S30" s="17" t="str">
        <x:v>No fresh end-to-end evidence for independent drafts. Windows behavior, owner UI approval and live provider/device acceptance are not established by this milestone.</x:v>
      </x:c>
      <x:c r="T30" s="1"/>
    </x:row>
    <x:row r="31" ht="102" customHeight="1">
      <x:c r="A31" s="18" t="str">
        <x:v>UX-021</x:v>
      </x:c>
      <x:c r="B31" s="19" t="str">
        <x:v>Composer</x:v>
      </x:c>
      <x:c r="C31" s="19" t="str">
        <x:v>Attachment selection and removal</x:v>
      </x:c>
      <x:c r="D31" s="19" t="str">
        <x:v>Present</x:v>
      </x:c>
      <x:c r="E31" s="19" t="str">
        <x:v>Selected UTF-8 text files are validated locally. Explicit Send includes exact contents in saved request text. Unsupported files remain labeled/removable; previous-session names require reattachment.</x:v>
      </x:c>
      <x:c r="F31" s="19" t="str">
        <x:v>Observed: attachment entry visible [G1]</x:v>
      </x:c>
      <x:c r="G31" s="19" t="str">
        <x:v>Documented: files and folders [C1]</x:v>
      </x:c>
      <x:c r="H31" s="19" t="str">
        <x:v>Documented: file and image attachment [D1]</x:v>
      </x:c>
      <x:c r="I31" s="19" t="str">
        <x:v>Show file type, size, readiness, removal and errors before send.</x:v>
      </x:c>
      <x:c r="J31" s="19" t="str">
        <x:v>P1</x:v>
      </x:c>
      <x:c r="K31" s="19" t="str">
        <x:v>2 Chat</x:v>
      </x:c>
      <x:c r="L31" s="19" t="str">
        <x:v>Backend attachment support</x:v>
      </x:c>
      <x:c r="M31" s="19" t="str">
        <x:v>Unsupported attachments are labeled before send; supported contents reach model context.</x:v>
      </x:c>
      <x:c r="N31" s="10" t="str">
        <x:v>Verified</x:v>
      </x:c>
      <x:c r="O31" s="10" t="str">
        <x:v>Proposed</x:v>
      </x:c>
      <x:c r="P31" s="19" t="str">
        <x:v>2026-09-16: attachments.json; verify-attachments-unit.cjs. Isolated tests passed; no live provider/device call. Owner acceptance pending.</x:v>
      </x:c>
      <x:c r="Q31" s="19" t="str">
        <x:v>Partial</x:v>
      </x:c>
      <x:c r="R31" s="19" t="str">
        <x:v>No fresh acceptance run in this milestone; inherited dated effective evidence.</x:v>
      </x:c>
      <x:c r="S31" s="19" t="str">
        <x:v>Fresh check did not inspect request context or unsupported-file pre-send behavior. Windows behavior, owner UI approval and live provider/device acceptance are not established by this milestone.</x:v>
      </x:c>
      <x:c r="T31" s="1"/>
    </x:row>
    <x:row r="32" ht="72" customHeight="1">
      <x:c r="A32" s="16" t="str">
        <x:v>UX-022</x:v>
      </x:c>
      <x:c r="B32" s="17" t="str">
        <x:v>Composer</x:v>
      </x:c>
      <x:c r="C32" s="17" t="str">
        <x:v>Drag-drop and clipboard files</x:v>
      </x:c>
      <x:c r="D32" s="17" t="str">
        <x:v>Present</x:v>
      </x:c>
      <x:c r="E32" s="17" t="str">
        <x:v>Composer file drop and clipboard-file paste create usable text attachments; unsupported and oversized files give recovery instructions.</x:v>
      </x:c>
      <x:c r="F32" s="17" t="str">
        <x:v>Unverified</x:v>
      </x:c>
      <x:c r="G32" s="17" t="str">
        <x:v>Unverified</x:v>
      </x:c>
      <x:c r="H32" s="17" t="str">
        <x:v>Documented: drag-drop attachments [D1]</x:v>
      </x:c>
      <x:c r="I32" s="17" t="str">
        <x:v>Implement only supported types with visible readiness.</x:v>
      </x:c>
      <x:c r="J32" s="17" t="str">
        <x:v>P2</x:v>
      </x:c>
      <x:c r="K32" s="17" t="str">
        <x:v>2 Chat</x:v>
      </x:c>
      <x:c r="L32" s="17" t="str">
        <x:v>UX-020</x:v>
      </x:c>
      <x:c r="M32" s="17" t="str">
        <x:v>Paste/drop valid file creates one usable attachment. Invalid type shows recovery.</x:v>
      </x:c>
      <x:c r="N32" s="10" t="str">
        <x:v>Verified</x:v>
      </x:c>
      <x:c r="O32" s="10" t="str">
        <x:v>Investigate</x:v>
      </x:c>
      <x:c r="P32" s="17" t="str">
        <x:v>2026-09-16: attachments.json. Isolated tests passed; no live provider/device call. Owner acceptance pending.</x:v>
      </x:c>
      <x:c r="Q32" s="17" t="str">
        <x:v>Partial</x:v>
      </x:c>
      <x:c r="R32" s="17" t="str">
        <x:v>No fresh acceptance run in this milestone; inherited dated effective evidence.</x:v>
      </x:c>
      <x:c r="S32" s="17" t="str">
        <x:v>Drag/drop and clipboard paths were not exercised. Windows behavior, owner UI approval and live provider/device acceptance are not established by this milestone.</x:v>
      </x:c>
      <x:c r="T32" s="1"/>
    </x:row>
    <x:row r="33" ht="42" customHeight="1">
      <x:c r="A33" s="18" t="str">
        <x:v>UX-023</x:v>
      </x:c>
      <x:c r="B33" s="19" t="str">
        <x:v>Composer</x:v>
      </x:c>
      <x:c r="C33" s="19" t="str">
        <x:v>File or device mentions</x:v>
      </x:c>
      <x:c r="D33" s="19" t="str">
        <x:v>Missing</x:v>
      </x:c>
      <x:c r="E33" s="19" t="str">
        <x:v>No contextual @ picker in active shell.</x:v>
      </x:c>
      <x:c r="F33" s="19" t="str">
        <x:v>Unverified</x:v>
      </x:c>
      <x:c r="G33" s="19" t="str">
        <x:v>Documented: file search and context [C4]</x:v>
      </x:c>
      <x:c r="H33" s="19" t="str">
        <x:v>Documented: @ file mentions [D1]</x:v>
      </x:c>
      <x:c r="I33" s="19" t="str">
        <x:v>Add @device and @document chips that identify exact scope.</x:v>
      </x:c>
      <x:c r="J33" s="19" t="str">
        <x:v>P2</x:v>
      </x:c>
      <x:c r="K33" s="19" t="str">
        <x:v>3 Trusted work</x:v>
      </x:c>
      <x:c r="L33" s="19" t="str">
        <x:v>Inventory/document context contract</x:v>
      </x:c>
      <x:c r="M33" s="19" t="str">
        <x:v>Mention resolves to a stable ID; unavailable devices cannot appear connected.</x:v>
      </x:c>
      <x:c r="N33" s="10" t="str">
        <x:v>Not started</x:v>
      </x:c>
      <x:c r="O33" s="10" t="str">
        <x:v>Proposed</x:v>
      </x:c>
      <x:c r="P33" s="19" t="str">
        <x:v>polished.html; polished.js; polished.js:213-265,408-437</x:v>
      </x:c>
      <x:c r="Q33" s="19" t="str">
        <x:v>Missing</x:v>
      </x:c>
      <x:c r="R33" s="19" t="str">
        <x:v>No fresh acceptance run in this milestone; inherited dated effective evidence.</x:v>
      </x:c>
      <x:c r="S33" s="19" t="str">
        <x:v>No provider, device, or credential calls were made by this audit. Windows behavior, owner UI approval and live provider/device acceptance are not established by this milestone.</x:v>
      </x:c>
      <x:c r="T33" s="1"/>
    </x:row>
    <x:row r="34" ht="87" customHeight="1">
      <x:c r="A34" s="16" t="str">
        <x:v>UX-024</x:v>
      </x:c>
      <x:c r="B34" s="17" t="str">
        <x:v>Composer</x:v>
      </x:c>
      <x:c r="C34" s="17" t="str">
        <x:v>Reply to a message</x:v>
      </x:c>
      <x:c r="D34" s="17" t="str">
        <x:v>Present</x:v>
      </x:c>
      <x:c r="E34" s="17" t="str">
        <x:v>Reply selects a cancellable, saved quote. Explicit Send or queue carries the bounded quote; reload, limits and absent target handling verified.</x:v>
      </x:c>
      <x:c r="F34" s="17" t="str">
        <x:v>Observed: Reply menu action [G1]</x:v>
      </x:c>
      <x:c r="G34" s="17" t="str">
        <x:v>Unverified</x:v>
      </x:c>
      <x:c r="H34" s="17" t="str">
        <x:v>Documented: side questions, not equivalent [D1]</x:v>
      </x:c>
      <x:c r="I34" s="17" t="str">
        <x:v>Add reply preview with cancel and a link to original message.</x:v>
      </x:c>
      <x:c r="J34" s="17" t="str">
        <x:v>P2</x:v>
      </x:c>
      <x:c r="K34" s="17" t="str">
        <x:v>2 Chat</x:v>
      </x:c>
      <x:c r="L34" s="17" t="str">
        <x:v>Message IDs and context rules</x:v>
      </x:c>
      <x:c r="M34" s="17" t="str">
        <x:v>Reply identifies source message; cancel removes reference without deleting draft.</x:v>
      </x:c>
      <x:c r="N34" s="10" t="str">
        <x:v>Verified</x:v>
      </x:c>
      <x:c r="O34" s="10" t="str">
        <x:v>Proposed</x:v>
      </x:c>
      <x:c r="P34" s="17" t="str">
        <x:v>2026-09-15: .intentgraph/evidence/ux-fixes-2026-09-15/chat-interactions.json; verify-chat-interactions.cjs exit 0. Mocked requests; owner acceptance pending.</x:v>
      </x:c>
      <x:c r="Q34" s="17" t="str">
        <x:v>Verified (scoped)</x:v>
      </x:c>
      <x:c r="R34" s="17" t="str">
        <x:v>No fresh acceptance run in this milestone; inherited dated effective evidence.</x:v>
      </x:c>
      <x:c r="S34" s="17" t="str">
        <x:v>No substantive gap in the tested reply/cancel flow; the fixture used a mouse path only. Windows behavior, owner UI approval and live provider/device acceptance are not established by this milestone.</x:v>
      </x:c>
      <x:c r="T34" s="1"/>
    </x:row>
    <x:row r="35" ht="72" customHeight="1">
      <x:c r="A35" s="18" t="str">
        <x:v>UX-025</x:v>
      </x:c>
      <x:c r="B35" s="19" t="str">
        <x:v>Composer</x:v>
      </x:c>
      <x:c r="C35" s="19" t="str">
        <x:v>Edit and resend a prompt</x:v>
      </x:c>
      <x:c r="D35" s="19" t="str">
        <x:v>Present</x:v>
      </x:c>
      <x:c r="E35" s="19" t="str">
        <x:v>Explicit edit and resend; original history recoverable in a local copy, composer draft preserved, busy/queue and length guards verified.</x:v>
      </x:c>
      <x:c r="F35" s="19" t="str">
        <x:v>Unverified</x:v>
      </x:c>
      <x:c r="G35" s="19" t="str">
        <x:v>Unverified</x:v>
      </x:c>
      <x:c r="H35" s="19" t="str">
        <x:v>Documented: prompt history and rewind [D2]</x:v>
      </x:c>
      <x:c r="I35" s="19" t="str">
        <x:v>Support editing with explicit context boundary and retained history.</x:v>
      </x:c>
      <x:c r="J35" s="19" t="str">
        <x:v>P2</x:v>
      </x:c>
      <x:c r="K35" s="19" t="str">
        <x:v>2 Chat</x:v>
      </x:c>
      <x:c r="L35" s="19" t="str">
        <x:v>Revert safeguards</x:v>
      </x:c>
      <x:c r="M35" s="19" t="str">
        <x:v>User can review edited prompt before send; earlier device commands are never reversed or repeated silently.</x:v>
      </x:c>
      <x:c r="N35" s="10" t="str">
        <x:v>Verified</x:v>
      </x:c>
      <x:c r="O35" s="10" t="str">
        <x:v>Proposed</x:v>
      </x:c>
      <x:c r="P35" s="19" t="str">
        <x:v>2026-09-15: .intentgraph/evidence/ux-fixes-2026-09-15/edit-rendering.json; browser test exit 0. Mocked requests; owner acceptance pending.</x:v>
      </x:c>
      <x:c r="Q35" s="19" t="str">
        <x:v>Partial</x:v>
      </x:c>
      <x:c r="R35" s="19" t="str">
        <x:v>No fresh acceptance run in this milestone; inherited dated effective evidence.</x:v>
      </x:c>
      <x:c r="S35" s="19" t="str">
        <x:v>No device command execution was permitted or tested. Windows behavior, owner UI approval and live provider/device acceptance are not established by this milestone.</x:v>
      </x:c>
      <x:c r="T35" s="1"/>
    </x:row>
    <x:row r="36" ht="42" customHeight="1">
      <x:c r="A36" s="16" t="str">
        <x:v>UX-026</x:v>
      </x:c>
      <x:c r="B36" s="17" t="str">
        <x:v>Composer</x:v>
      </x:c>
      <x:c r="C36" s="17" t="str">
        <x:v>Voice dictation</x:v>
      </x:c>
      <x:c r="D36" s="17" t="str">
        <x:v>Missing</x:v>
      </x:c>
      <x:c r="E36" s="17" t="str">
        <x:v>No microphone input in Aven.</x:v>
      </x:c>
      <x:c r="F36" s="17" t="str">
        <x:v>Observed: microphone button visible; transcription untested [G1]</x:v>
      </x:c>
      <x:c r="G36" s="17" t="str">
        <x:v>Observed: microphone button visible [C0]</x:v>
      </x:c>
      <x:c r="H36" s="17" t="str">
        <x:v>Documented: voice input [D2]</x:v>
      </x:c>
      <x:c r="I36" s="17" t="str">
        <x:v>Defer until microphone, transcript review and provider privacy are defined.</x:v>
      </x:c>
      <x:c r="J36" s="17" t="str">
        <x:v>P3</x:v>
      </x:c>
      <x:c r="K36" s="17" t="str">
        <x:v>4 Extend</x:v>
      </x:c>
      <x:c r="L36" s="17" t="str">
        <x:v>Voice backend and permission UX</x:v>
      </x:c>
      <x:c r="M36" s="17" t="str">
        <x:v>Recording indicator and cancel work; transcript is editable before sending.</x:v>
      </x:c>
      <x:c r="N36" s="10" t="str">
        <x:v>Not started</x:v>
      </x:c>
      <x:c r="O36" s="10" t="str">
        <x:v>Proposed</x:v>
      </x:c>
      <x:c r="P36" s="17" t="str">
        <x:v>polished.html composer; polished.js:213-265,408-437</x:v>
      </x:c>
      <x:c r="Q36" s="17" t="str">
        <x:v>Missing</x:v>
      </x:c>
      <x:c r="R36" s="17" t="str">
        <x:v>No fresh acceptance run in this milestone; inherited dated effective evidence.</x:v>
      </x:c>
      <x:c r="S36" s="17" t="str">
        <x:v>Microphone/device APIs were intentionally not called. Windows behavior, owner UI approval and live provider/device acceptance are not established by this milestone.</x:v>
      </x:c>
      <x:c r="T36" s="1"/>
    </x:row>
    <x:row r="37" ht="42" customHeight="1">
      <x:c r="A37" s="18" t="str">
        <x:v>UX-027</x:v>
      </x:c>
      <x:c r="B37" s="19" t="str">
        <x:v>Composer</x:v>
      </x:c>
      <x:c r="C37" s="19" t="str">
        <x:v>Model and effort picker</x:v>
      </x:c>
      <x:c r="D37" s="19" t="str">
        <x:v>Partial</x:v>
      </x:c>
      <x:c r="E37" s="19" t="str">
        <x:v>Active OpenCode shown; preferred model field does not change runtime.</x:v>
      </x:c>
      <x:c r="F37" s="19" t="str">
        <x:v>Unverified</x:v>
      </x:c>
      <x:c r="G37" s="19" t="str">
        <x:v>Observed: model and effort in composer [C0]</x:v>
      </x:c>
      <x:c r="H37" s="19" t="str">
        <x:v>Documented: model and effort controls [D1]</x:v>
      </x:c>
      <x:c r="I37" s="19" t="str">
        <x:v>Show actual model; enable selection only for connected supported providers.</x:v>
      </x:c>
      <x:c r="J37" s="19" t="str">
        <x:v>P1</x:v>
      </x:c>
      <x:c r="K37" s="19" t="str">
        <x:v>3 Trusted work</x:v>
      </x:c>
      <x:c r="L37" s="19" t="str">
        <x:v>Provider routing</x:v>
      </x:c>
      <x:c r="M37" s="19" t="str">
        <x:v>Picker change is reflected in the next request and response provenance.</x:v>
      </x:c>
      <x:c r="N37" s="10" t="str">
        <x:v>Not started</x:v>
      </x:c>
      <x:c r="O37" s="10" t="str">
        <x:v>Proposed</x:v>
      </x:c>
      <x:c r="P37" s="19" t="str">
        <x:v>A0 Settings Models; agent-runtime.cjs; polished.js:213-265,408-437</x:v>
      </x:c>
      <x:c r="Q37" s="19" t="str">
        <x:v>Missing</x:v>
      </x:c>
      <x:c r="R37" s="19" t="str">
        <x:v>No fresh acceptance run in this milestone; inherited dated effective evidence.</x:v>
      </x:c>
      <x:c r="S37" s="19" t="str">
        <x:v>No real provider call was attempted. Windows behavior, owner UI approval and live provider/device acceptance are not established by this milestone.</x:v>
      </x:c>
      <x:c r="T37" s="1"/>
    </x:row>
    <x:row r="38" ht="117" customHeight="1">
      <x:c r="A38" s="20" t="str">
        <x:v>UX-028</x:v>
      </x:c>
      <x:c r="B38" s="21" t="str">
        <x:v>Execution</x:v>
      </x:c>
      <x:c r="C38" s="21" t="str">
        <x:v>Streamed response and activity</x:v>
      </x:c>
      <x:c r="D38" s="21" t="str">
        <x:v>Present</x:v>
      </x:c>
      <x:c r="E38" s="21" t="str">
        <x:v>Chat streams and expandable activity/evidence exist.</x:v>
      </x:c>
      <x:c r="F38" s="21" t="str">
        <x:v>Observed: message transcript [G1]</x:v>
      </x:c>
      <x:c r="G38" s="21" t="str">
        <x:v>Observed: progress summaries [C0]</x:v>
      </x:c>
      <x:c r="H38" s="21" t="str">
        <x:v>Documented: live transcript [D1]</x:v>
      </x:c>
      <x:c r="I38" s="21" t="str">
        <x:v>Preserve smooth updates and readable final result.</x:v>
      </x:c>
      <x:c r="J38" s="21" t="str">
        <x:v>P1</x:v>
      </x:c>
      <x:c r="K38" s="21" t="str">
        <x:v>Keep</x:v>
      </x:c>
      <x:c r="L38" s="21" t="str">
        <x:v>Stream regression</x:v>
      </x:c>
      <x:c r="M38" s="21" t="str">
        <x:v>No duplicate final text or evidence when a stream finishes.</x:v>
      </x:c>
      <x:c r="N38" s="13" t="str">
        <x:v>Verified</x:v>
      </x:c>
      <x:c r="O38" s="13" t="str">
        <x:v>Preserve</x:v>
      </x:c>
      <x:c r="P38" s="21" t="str">
        <x:v>2026-09-16: preservation audit PASS. isolated run `node .intentgraph/runtime/verify-agent-stream-ui.cjs`; .intentgraph/evidence/chat-polish.json (one terminal despite duplicate event/final) Owner acceptance remains separate.</x:v>
      </x:c>
      <x:c r="Q38" s="21" t="str">
        <x:v>Verified (scoped)</x:v>
      </x:c>
      <x:c r="R38" s="21" t="str">
        <x:v>Current API and browser reconcile one final result after lost response/reload; exact 15-line code remains collapsed and intact. Evidence: docs/evidence/admission-2026-09-19/verification.json; browser-checks.json.</x:v>
      </x:c>
      <x:c r="S38" s="21" t="str">
        <x:v>The stream was locally fulfilled; provider behavior and reconnects were not tested. Windows behavior, owner UI approval and live provider/device acceptance are not established by this milestone.</x:v>
      </x:c>
      <x:c r="T38" s="1"/>
    </x:row>
    <x:row r="39" ht="87" customHeight="1">
      <x:c r="A39" s="18" t="str">
        <x:v>UX-029</x:v>
      </x:c>
      <x:c r="B39" s="19" t="str">
        <x:v>Execution</x:v>
      </x:c>
      <x:c r="C39" s="19" t="str">
        <x:v>Stop a running request</x:v>
      </x:c>
      <x:c r="D39" s="19" t="str">
        <x:v>Present</x:v>
      </x:c>
      <x:c r="E39" s="19" t="str">
        <x:v>Stop aborts the request, pauses queued work and explicitly marks submitted remote completion UNKNOWN. Captured evidence remains inspectable.</x:v>
      </x:c>
      <x:c r="F39" s="19" t="str">
        <x:v>Unverified</x:v>
      </x:c>
      <x:c r="G39" s="19" t="str">
        <x:v>Observed: stop button during active task [C0]</x:v>
      </x:c>
      <x:c r="H39" s="19" t="str">
        <x:v>Documented: interrupt control [D1]</x:v>
      </x:c>
      <x:c r="I39" s="19" t="str">
        <x:v>Distinguish stopping the model, current tool and queued work.</x:v>
      </x:c>
      <x:c r="J39" s="19" t="str">
        <x:v>P1</x:v>
      </x:c>
      <x:c r="K39" s="19" t="str">
        <x:v>3 Trusted work</x:v>
      </x:c>
      <x:c r="L39" s="19" t="str">
        <x:v>Abort propagation</x:v>
      </x:c>
      <x:c r="M39" s="19" t="str">
        <x:v>Stop state is truthful; cancellation does not claim a completed device command was undone.</x:v>
      </x:c>
      <x:c r="N39" s="10" t="str">
        <x:v>Verified</x:v>
      </x:c>
      <x:c r="O39" s="10" t="str">
        <x:v>Proposed</x:v>
      </x:c>
      <x:c r="P39" s="19" t="str">
        <x:v>2026-09-16: verify-queue-terminal.cjs 4/4; run-durability.json. Isolated tests passed; no live provider/device call. Owner acceptance pending.</x:v>
      </x:c>
      <x:c r="Q39" s="19" t="str">
        <x:v>Verified (scoped)</x:v>
      </x:c>
      <x:c r="R39" s="19" t="str">
        <x:v>Current Stop fixture preserves UNKNOWN and pauses queued work. Remote cancellation is not asserted. Evidence: docs/evidence/admission-2026-09-19/verification.json; browser-checks.json.</x:v>
      </x:c>
      <x:c r="S39" s="19" t="str">
        <x:v>No real remote request or device command was stopped. Windows behavior, owner UI approval and live provider/device acceptance are not established by this milestone.</x:v>
      </x:c>
      <x:c r="T39" s="1"/>
    </x:row>
    <x:row r="40" ht="132" customHeight="1">
      <x:c r="A40" s="16" t="str">
        <x:v>UX-030</x:v>
      </x:c>
      <x:c r="B40" s="17" t="str">
        <x:v>Execution</x:v>
      </x:c>
      <x:c r="C40" s="17" t="str">
        <x:v>Queue follow-up messages</x:v>
      </x:c>
      <x:c r="D40" s="17" t="str">
        <x:v>Present</x:v>
      </x:c>
      <x:c r="E40" s="17" t="str">
        <x:v>Visible queue with per-item controls exists.</x:v>
      </x:c>
      <x:c r="F40" s="17" t="str">
        <x:v>Unverified</x:v>
      </x:c>
      <x:c r="G40" s="17" t="str">
        <x:v>Unverified</x:v>
      </x:c>
      <x:c r="H40" s="17" t="str">
        <x:v>Documented: redirect while working [D1]</x:v>
      </x:c>
      <x:c r="I40" s="17" t="str">
        <x:v>Keep queue separate from immediate steering.</x:v>
      </x:c>
      <x:c r="J40" s="17" t="str">
        <x:v>P1</x:v>
      </x:c>
      <x:c r="K40" s="17" t="str">
        <x:v>Keep</x:v>
      </x:c>
      <x:c r="L40" s="17" t="str">
        <x:v>Queue regression</x:v>
      </x:c>
      <x:c r="M40" s="17" t="str">
        <x:v>Queued messages stay ordered and are never submitted twice.</x:v>
      </x:c>
      <x:c r="N40" s="10" t="str">
        <x:v>Verified</x:v>
      </x:c>
      <x:c r="O40" s="10" t="str">
        <x:v>Preserve</x:v>
      </x:c>
      <x:c r="P40" s="17" t="str">
        <x:v>2026-09-16: preservation audit PASS. .intentgraph/evidence/pending-88-20260916/preserved-audit.json (storage failure: 0 calls, queue retained; recovery: 1 call); .intentgraph/runtime/verify-queue-terminal.cjs:49-75 Owner acceptance remains separate.</x:v>
      </x:c>
      <x:c r="Q40" s="17" t="str">
        <x:v>Partial</x:v>
      </x:c>
      <x:c r="R40" s="17" t="str">
        <x:v>Stable saved identities and backend duplicate suppression; current browser FIFO and explicit paused-queue checks. Broader crash-at-every-queue-boundary coverage remains partial. Evidence: docs/evidence/admission-2026-09-19/verification.json; browser-checks.json.</x:v>
      </x:c>
      <x:c r="S40" s="17" t="str">
        <x:v>Order and duplicate-submission behavior were not freshly exercised. Windows behavior, owner UI approval and live provider/device acceptance are not established by this milestone.</x:v>
      </x:c>
      <x:c r="T40" s="1"/>
    </x:row>
    <x:row r="41" ht="87" customHeight="1">
      <x:c r="A41" s="18" t="str">
        <x:v>UX-031</x:v>
      </x:c>
      <x:c r="B41" s="19" t="str">
        <x:v>Execution</x:v>
      </x:c>
      <x:c r="C41" s="19" t="str">
        <x:v>Queue edit, remove and resume</x:v>
      </x:c>
      <x:c r="D41" s="19" t="str">
        <x:v>Present</x:v>
      </x:c>
      <x:c r="E41" s="19" t="str">
        <x:v>Saved queue and resume control exist.</x:v>
      </x:c>
      <x:c r="F41" s="19" t="str">
        <x:v>Unverified</x:v>
      </x:c>
      <x:c r="G41" s="19" t="str">
        <x:v>Unverified</x:v>
      </x:c>
      <x:c r="H41" s="19" t="str">
        <x:v>Unverified</x:v>
      </x:c>
      <x:c r="I41" s="19" t="str">
        <x:v>Keep explicit recovery after interrupted processing.</x:v>
      </x:c>
      <x:c r="J41" s="19" t="str">
        <x:v>P1</x:v>
      </x:c>
      <x:c r="K41" s="19" t="str">
        <x:v>Keep</x:v>
      </x:c>
      <x:c r="L41" s="19" t="str">
        <x:v>Queue persistence</x:v>
      </x:c>
      <x:c r="M41" s="19" t="str">
        <x:v>Reload retains queue; resume is intentional; editing changes only selected item.</x:v>
      </x:c>
      <x:c r="N41" s="10" t="str">
        <x:v>Verified</x:v>
      </x:c>
      <x:c r="O41" s="10" t="str">
        <x:v>Preserve</x:v>
      </x:c>
      <x:c r="P41" s="19" t="str">
        <x:v>2026-09-16: preservation audit PASS. .intentgraph/runtime/verify-queue-terminal.cjs:49-75,120-128 (FIFO/edit/remove/resume/reload pause) Owner acceptance remains separate.</x:v>
      </x:c>
      <x:c r="Q41" s="19" t="str">
        <x:v>Partial</x:v>
      </x:c>
      <x:c r="R41" s="19" t="str">
        <x:v>Current queue survives Stop/review and resumes explicitly; this milestone does not freshly exercise every edit/remove/reorder variant. Evidence: docs/evidence/admission-2026-09-19/verification.json; browser-checks.json.</x:v>
      </x:c>
      <x:c r="S41" s="19" t="str">
        <x:v>Resume and exactly-once dispatch were not tested. Windows behavior, owner UI approval and live provider/device acceptance are not established by this milestone.</x:v>
      </x:c>
      <x:c r="T41" s="1"/>
    </x:row>
    <x:row r="42" ht="132" customHeight="1">
      <x:c r="A42" s="16" t="str">
        <x:v>UX-032</x:v>
      </x:c>
      <x:c r="B42" s="17" t="str">
        <x:v>Execution</x:v>
      </x:c>
      <x:c r="C42" s="17" t="str">
        <x:v>Steer the next step</x:v>
      </x:c>
      <x:c r="D42" s="17" t="str">
        <x:v>Present</x:v>
      </x:c>
      <x:c r="E42" s="17" t="str">
        <x:v>Separate Steer next step button.</x:v>
      </x:c>
      <x:c r="F42" s="17" t="str">
        <x:v>Unverified</x:v>
      </x:c>
      <x:c r="G42" s="17" t="str">
        <x:v>Unverified</x:v>
      </x:c>
      <x:c r="H42" s="17" t="str">
        <x:v>Documented: correction after current action [D1]</x:v>
      </x:c>
      <x:c r="I42" s="17" t="str">
        <x:v>Keep acknowledgment and timing visible.</x:v>
      </x:c>
      <x:c r="J42" s="17" t="str">
        <x:v>P1</x:v>
      </x:c>
      <x:c r="K42" s="17" t="str">
        <x:v>Keep</x:v>
      </x:c>
      <x:c r="L42" s="17" t="str">
        <x:v>Runtime steer support</x:v>
      </x:c>
      <x:c r="M42" s="17" t="str">
        <x:v>Correction applies before next tool step and does not silently create a duplicate run.</x:v>
      </x:c>
      <x:c r="N42" s="10" t="str">
        <x:v>Verified</x:v>
      </x:c>
      <x:c r="O42" s="10" t="str">
        <x:v>Preserve</x:v>
      </x:c>
      <x:c r="P42" s="17" t="str">
        <x:v>2026-09-16: preservation audit PASS. 25/25 local fixture tests passed, including `intentgraph/steering.test.cjs:166-191` (next model boundary, applied once); .intentgraph/runtime/verify-queue-terminal.cjs:77-118 Owner acceptance remains separate.</x:v>
      </x:c>
      <x:c r="Q42" s="17" t="str">
        <x:v>Partial</x:v>
      </x:c>
      <x:c r="R42" s="17" t="str">
        <x:v>Existing active steering tests pass unchanged; receipt identity does not replace steering tokens or authorize new work. Evidence: docs/evidence/admission-2026-09-19/verification.json; browser-checks.json.</x:v>
      </x:c>
      <x:c r="S42" s="17" t="str">
        <x:v>Unit coverage does not prove the browser UI flow. Windows behavior, owner UI approval and live provider/device acceptance are not established by this milestone.</x:v>
      </x:c>
      <x:c r="T42" s="1"/>
    </x:row>
    <x:row r="43" ht="48" customHeight="1">
      <x:c r="A43" s="18" t="str">
        <x:v>UX-033</x:v>
      </x:c>
      <x:c r="B43" s="19" t="str">
        <x:v>Execution</x:v>
      </x:c>
      <x:c r="C43" s="19" t="str">
        <x:v>Clarification and approval cards</x:v>
      </x:c>
      <x:c r="D43" s="19" t="str">
        <x:v>Partial</x:v>
      </x:c>
      <x:c r="E43" s="19" t="str">
        <x:v>No general rich choice/reply card comparable to reference observed.</x:v>
      </x:c>
      <x:c r="F43" s="19" t="str">
        <x:v>Observed: inline question with choices and dismissed state [G1]</x:v>
      </x:c>
      <x:c r="G43" s="19" t="str">
        <x:v>Unverified</x:v>
      </x:c>
      <x:c r="H43" s="19" t="str">
        <x:v>Documented: permission prompts [D1]</x:v>
      </x:c>
      <x:c r="I43" s="19" t="str">
        <x:v>Use compact choices, free-text answer and explicit waiting state.</x:v>
      </x:c>
      <x:c r="J43" s="19" t="str">
        <x:v>P1</x:v>
      </x:c>
      <x:c r="K43" s="19" t="str">
        <x:v>3 Trusted work</x:v>
      </x:c>
      <x:c r="L43" s="19" t="str">
        <x:v>Structured pending-input events</x:v>
      </x:c>
      <x:c r="M43" s="19" t="str">
        <x:v>Answer maps to one pending question; stale cards cannot authorize later work.</x:v>
      </x:c>
      <x:c r="N43" s="10" t="str">
        <x:v>Not started</x:v>
      </x:c>
      <x:c r="O43" s="10" t="str">
        <x:v>Proposed</x:v>
      </x:c>
      <x:c r="P43" s="19" t="str">
        <x:v>A0; server/runtime source review; polished.js:193-255,380-422; intentgraph/server.cjs:206-285</x:v>
      </x:c>
      <x:c r="Q43" s="19" t="str">
        <x:v>Missing</x:v>
      </x:c>
      <x:c r="R43" s="19" t="str">
        <x:v>No fresh acceptance run in this milestone; inherited dated effective evidence.</x:v>
      </x:c>
      <x:c r="S43" s="19" t="str">
        <x:v>No external approval or device action was invoked. Windows behavior, owner UI approval and live provider/device acceptance are not established by this milestone.</x:v>
      </x:c>
      <x:c r="T43" s="1"/>
    </x:row>
    <x:row r="44" ht="87" customHeight="1">
      <x:c r="A44" s="16" t="str">
        <x:v>UX-034</x:v>
      </x:c>
      <x:c r="B44" s="17" t="str">
        <x:v>Execution</x:v>
      </x:c>
      <x:c r="C44" s="17" t="str">
        <x:v>Plan and inspect modes</x:v>
      </x:c>
      <x:c r="D44" s="17" t="str">
        <x:v>Present</x:v>
      </x:c>
      <x:c r="E44" s="17" t="str">
        <x:v>Plan uses zero tools at the backend. Inspect retains the allowlisted read-only runtime. Mode persists and queued requests retain their original mode.</x:v>
      </x:c>
      <x:c r="F44" s="17" t="str">
        <x:v>Unverified</x:v>
      </x:c>
      <x:c r="G44" s="17" t="str">
        <x:v>Documented: plan mode entry [C1]</x:v>
      </x:c>
      <x:c r="H44" s="17" t="str">
        <x:v>Documented: Plan permission mode [D1]</x:v>
      </x:c>
      <x:c r="I44" s="17" t="str">
        <x:v>Separate discussion/inspection from any future device changes.</x:v>
      </x:c>
      <x:c r="J44" s="17" t="str">
        <x:v>P1</x:v>
      </x:c>
      <x:c r="K44" s="17" t="str">
        <x:v>3 Trusted work</x:v>
      </x:c>
      <x:c r="L44" s="17" t="str">
        <x:v>Runtime-enforced mode contract</x:v>
      </x:c>
      <x:c r="M44" s="17" t="str">
        <x:v>Plan mode cannot execute state-changing operations; current read-only scope stays explicit.</x:v>
      </x:c>
      <x:c r="N44" s="10" t="str">
        <x:v>Verified</x:v>
      </x:c>
      <x:c r="O44" s="10" t="str">
        <x:v>Proposed</x:v>
      </x:c>
      <x:c r="P44" s="17" t="str">
        <x:v>2026-09-16: verify-chat-modes.cjs and modes-ui.json passed; malicious tool-call fixture invokes no sandbox. No live provider call.</x:v>
      </x:c>
      <x:c r="Q44" s="17" t="str">
        <x:v>Partial</x:v>
      </x:c>
      <x:c r="R44" s="17" t="str">
        <x:v>Existing Plan/Inspect and allowlist tests pass; browser Plan fixture uses the same saved mode on retries. Evidence: docs/evidence/admission-2026-09-19/verification.json; browser-checks.json.</x:v>
      </x:c>
      <x:c r="S44" s="17" t="str">
        <x:v>The current fixture did not prove backend no-tools enforcement for every plan request. Windows behavior, owner UI approval and live provider/device acceptance are not established by this milestone.</x:v>
      </x:c>
      <x:c r="T44" s="1"/>
    </x:row>
    <x:row r="45" ht="102" customHeight="1">
      <x:c r="A45" s="18" t="str">
        <x:v>UX-035</x:v>
      </x:c>
      <x:c r="B45" s="19" t="str">
        <x:v>Execution</x:v>
      </x:c>
      <x:c r="C45" s="19" t="str">
        <x:v>Detailed tool transcript</x:v>
      </x:c>
      <x:c r="D45" s="19" t="str">
        <x:v>Present</x:v>
      </x:c>
      <x:c r="E45" s="19" t="str">
        <x:v>Expandable activity and raw CLI details.</x:v>
      </x:c>
      <x:c r="F45" s="19" t="str">
        <x:v>Unverified</x:v>
      </x:c>
      <x:c r="G45" s="19" t="str">
        <x:v>Observed: collapsible tool activity [C0]</x:v>
      </x:c>
      <x:c r="H45" s="19" t="str">
        <x:v>Documented: normal, verbose and summary views [D1]</x:v>
      </x:c>
      <x:c r="I45" s="19" t="str">
        <x:v>Make summary concise and details inspectable.</x:v>
      </x:c>
      <x:c r="J45" s="19" t="str">
        <x:v>P2</x:v>
      </x:c>
      <x:c r="K45" s="19" t="str">
        <x:v>Keep</x:v>
      </x:c>
      <x:c r="L45" s="19" t="str">
        <x:v>Evidence provenance</x:v>
      </x:c>
      <x:c r="M45" s="19" t="str">
        <x:v>Summary, tool input and actual result remain distinguishable.</x:v>
      </x:c>
      <x:c r="N45" s="10" t="str">
        <x:v>Verified</x:v>
      </x:c>
      <x:c r="O45" s="10" t="str">
        <x:v>Preserve</x:v>
      </x:c>
      <x:c r="P45" s="19" t="str">
        <x:v>2026-09-16: preservation audit PASS. .intentgraph/runtime/verify-queue-terminal.cjs:77-118 (tool input/result/status/raw output distinct); isolated stream UI passed Owner acceptance remains separate.</x:v>
      </x:c>
      <x:c r="Q45" s="19" t="str">
        <x:v>Verified (scoped)</x:v>
      </x:c>
      <x:c r="R45" s="19" t="str">
        <x:v>No fresh acceptance run in this milestone; inherited dated effective evidence.</x:v>
      </x:c>
      <x:c r="S45" s="19" t="str">
        <x:v>No substantive gap in the saved transcript representation; provider-stream coverage remains outside. Windows behavior, owner UI approval and live provider/device acceptance are not established by this milestone.</x:v>
      </x:c>
      <x:c r="T45" s="1"/>
    </x:row>
    <x:row r="46" ht="87" customHeight="1">
      <x:c r="A46" s="16" t="str">
        <x:v>UX-036</x:v>
      </x:c>
      <x:c r="B46" s="17" t="str">
        <x:v>Execution</x:v>
      </x:c>
      <x:c r="C46" s="17" t="str">
        <x:v>Run state and elapsed time</x:v>
      </x:c>
      <x:c r="D46" s="17" t="str">
        <x:v>Present</x:v>
      </x:c>
      <x:c r="E46" s="17" t="str">
        <x:v>Run metadata retains elapsed time and SUCCESS/FAILURE/UNKNOWN outcome. Interrupted runs show a visible uncertainty notice rather than completed success.</x:v>
      </x:c>
      <x:c r="F46" s="17" t="str">
        <x:v>Observed: time and unread state [G1]</x:v>
      </x:c>
      <x:c r="G46" s="17" t="str">
        <x:v>Observed: running indicators [C0]</x:v>
      </x:c>
      <x:c r="H46" s="17" t="str">
        <x:v>Documented: session activity [D1]</x:v>
      </x:c>
      <x:c r="I46" s="17" t="str">
        <x:v>Use consistent queued/running/waiting/stopped/failed/completed states.</x:v>
      </x:c>
      <x:c r="J46" s="17" t="str">
        <x:v>P1</x:v>
      </x:c>
      <x:c r="K46" s="17" t="str">
        <x:v>3 Trusted work</x:v>
      </x:c>
      <x:c r="L46" s="17" t="str">
        <x:v>Unified run state</x:v>
      </x:c>
      <x:c r="M46" s="17" t="str">
        <x:v>A failed or interrupted run cannot display completed success; elapsed time stops correctly.</x:v>
      </x:c>
      <x:c r="N46" s="10" t="str">
        <x:v>Verified</x:v>
      </x:c>
      <x:c r="O46" s="10" t="str">
        <x:v>Proposed</x:v>
      </x:c>
      <x:c r="P46" s="17" t="str">
        <x:v>2026-09-16: run-recovery.json; run-durability.json. Isolated tests passed; no live provider/device call. Owner acceptance pending.</x:v>
      </x:c>
      <x:c r="Q46" s="17" t="str">
        <x:v>Partial</x:v>
      </x:c>
      <x:c r="R46" s="17" t="str">
        <x:v>Unknown/cancellation/persistence failures cannot be promoted to success; elapsed UI behavior retains existing implementation. Evidence: docs/evidence/admission-2026-09-19/verification.json; browser-checks.json.</x:v>
      </x:c>
      <x:c r="S46" s="17" t="str">
        <x:v>Elapsed timing itself was not asserted by the fresh harness. Windows behavior, owner UI approval and live provider/device acceptance are not established by this milestone.</x:v>
      </x:c>
      <x:c r="T46" s="1"/>
    </x:row>
    <x:row r="47" ht="48" customHeight="1">
      <x:c r="A47" s="18" t="str">
        <x:v>UX-037</x:v>
      </x:c>
      <x:c r="B47" s="19" t="str">
        <x:v>Execution</x:v>
      </x:c>
      <x:c r="C47" s="19" t="str">
        <x:v>Parallel work visibility</x:v>
      </x:c>
      <x:c r="D47" s="19" t="str">
        <x:v>Missing</x:v>
      </x:c>
      <x:c r="E47" s="19" t="str">
        <x:v>Backend uses one global in-flight request; team members are not parallel work.</x:v>
      </x:c>
      <x:c r="F47" s="19" t="str">
        <x:v>Unverified</x:v>
      </x:c>
      <x:c r="G47" s="19" t="str">
        <x:v>Observed: multiple tasks and child-agent progress [C0]</x:v>
      </x:c>
      <x:c r="H47" s="19" t="str">
        <x:v>Documented: parallel isolated sessions [D1]</x:v>
      </x:c>
      <x:c r="I47" s="19" t="str">
        <x:v>Show current serial limit honestly; add independent work only with backend support.</x:v>
      </x:c>
      <x:c r="J47" s="19" t="str">
        <x:v>P2</x:v>
      </x:c>
      <x:c r="K47" s="19" t="str">
        <x:v>4 Extend</x:v>
      </x:c>
      <x:c r="L47" s="19" t="str">
        <x:v>Scheduler, isolation and per-run IDs</x:v>
      </x:c>
      <x:c r="M47" s="19" t="str">
        <x:v>Two runs remain isolated, individually stoppable and recoverable.</x:v>
      </x:c>
      <x:c r="N47" s="10" t="str">
        <x:v>Not started</x:v>
      </x:c>
      <x:c r="O47" s="10" t="str">
        <x:v>Proposed</x:v>
      </x:c>
      <x:c r="P47" s="19" t="str">
        <x:v>server.cjs chatPending; architecture.json; polished.js:193-255,380-422; intentgraph/server.cjs:206-285</x:v>
      </x:c>
      <x:c r="Q47" s="19" t="str">
        <x:v>Missing</x:v>
      </x:c>
      <x:c r="R47" s="19" t="str">
        <x:v>Global serial admission retained. Parallel execution remains Missing. Evidence: docs/evidence/admission-2026-09-19/verification.json; browser-checks.json.</x:v>
      </x:c>
      <x:c r="S47" s="19" t="str">
        <x:v>No concurrent provider/device calls were made. Windows behavior, owner UI approval and live provider/device acceptance are not established by this milestone.</x:v>
      </x:c>
      <x:c r="T47" s="1"/>
    </x:row>
    <x:row r="48" ht="87" customHeight="1">
      <x:c r="A48" s="16" t="str">
        <x:v>UX-038</x:v>
      </x:c>
      <x:c r="B48" s="17" t="str">
        <x:v>Execution</x:v>
      </x:c>
      <x:c r="C48" s="17" t="str">
        <x:v>Context and usage visibility</x:v>
      </x:c>
      <x:c r="D48" s="17" t="str">
        <x:v>Present</x:v>
      </x:c>
      <x:c r="E48" s="17" t="str">
        <x:v>Run details show actual response model and supported token metadata. Missing usage is Unavailable. Existing context preview reports the bounded message window.</x:v>
      </x:c>
      <x:c r="F48" s="17" t="str">
        <x:v>Unverified</x:v>
      </x:c>
      <x:c r="G48" s="17" t="str">
        <x:v>Unverified</x:v>
      </x:c>
      <x:c r="H48" s="17" t="str">
        <x:v>Documented: context and plan usage [D1]</x:v>
      </x:c>
      <x:c r="I48" s="17" t="str">
        <x:v>Expose real per-run usage and limits when provider supplies them.</x:v>
      </x:c>
      <x:c r="J48" s="17" t="str">
        <x:v>P2</x:v>
      </x:c>
      <x:c r="K48" s="17" t="str">
        <x:v>3 Trusted work</x:v>
      </x:c>
      <x:c r="L48" s="17" t="str">
        <x:v>Usage event contract</x:v>
      </x:c>
      <x:c r="M48" s="17" t="str">
        <x:v>Unknown usage displays unavailable; displayed model and token totals match actual response data.</x:v>
      </x:c>
      <x:c r="N48" s="10" t="str">
        <x:v>Verified</x:v>
      </x:c>
      <x:c r="O48" s="10" t="str">
        <x:v>Proposed</x:v>
      </x:c>
      <x:c r="P48" s="17" t="str">
        <x:v>2026-09-16: run-recovery.json. Isolated tests passed; no live provider/device call. Owner acceptance pending.</x:v>
      </x:c>
      <x:c r="Q48" s="17" t="str">
        <x:v>Partial</x:v>
      </x:c>
      <x:c r="R48" s="17" t="str">
        <x:v>No fresh acceptance run in this milestone; inherited dated effective evidence.</x:v>
      </x:c>
      <x:c r="S48" s="17" t="str">
        <x:v>Unknown-usage branch and model-mismatch case were not tested. Windows behavior, owner UI approval and live provider/device acceptance are not established by this milestone.</x:v>
      </x:c>
      <x:c r="T48" s="1"/>
    </x:row>
    <x:row r="49" ht="48" customHeight="1">
      <x:c r="A49" s="18" t="str">
        <x:v>UX-039</x:v>
      </x:c>
      <x:c r="B49" s="19" t="str">
        <x:v>Execution</x:v>
      </x:c>
      <x:c r="C49" s="19" t="str">
        <x:v>Retry with retained evidence</x:v>
      </x:c>
      <x:c r="D49" s="19" t="str">
        <x:v>Partial</x:v>
      </x:c>
      <x:c r="E49" s="19" t="str">
        <x:v>Failures are surfaced; contextual retry needs an explicit contract.</x:v>
      </x:c>
      <x:c r="F49" s="19" t="str">
        <x:v>Unverified</x:v>
      </x:c>
      <x:c r="G49" s="19" t="str">
        <x:v>Unverified</x:v>
      </x:c>
      <x:c r="H49" s="19" t="str">
        <x:v>Unverified</x:v>
      </x:c>
      <x:c r="I49" s="19" t="str">
        <x:v>Offer safe retry with original prompt, visible scope and duplicate-action protection.</x:v>
      </x:c>
      <x:c r="J49" s="19" t="str">
        <x:v>P1</x:v>
      </x:c>
      <x:c r="K49" s="19" t="str">
        <x:v>3 Trusted work</x:v>
      </x:c>
      <x:c r="L49" s="19" t="str">
        <x:v>Run IDs and evidence history</x:v>
      </x:c>
      <x:c r="M49" s="19" t="str">
        <x:v>Retry does not repeat completed device actions silently; partial evidence remains inspectable.</x:v>
      </x:c>
      <x:c r="N49" s="10" t="str">
        <x:v>Not started</x:v>
      </x:c>
      <x:c r="O49" s="10" t="str">
        <x:v>Proposed</x:v>
      </x:c>
      <x:c r="P49" s="19" t="str">
        <x:v>polished.js request errors; server.cjs; polished.js:193-255,380-422; intentgraph/server.cjs:206-285</x:v>
      </x:c>
      <x:c r="Q49" s="19" t="str">
        <x:v>Partial</x:v>
      </x:c>
      <x:c r="R49" s="19" t="str">
        <x:v>Current storage/API/browser replay uses the same receipt and never dispatches automatically. Partial: no live device or checkpoint resumption validation. Evidence: docs/evidence/admission-2026-09-19/verification.json; browser-checks.json.</x:v>
      </x:c>
      <x:c r="S49" s="19" t="str">
        <x:v>No unsafe repeated device operation was reproduced. This is an implementation gap, not a confirmed execution defect. Windows behavior, owner UI approval and live provider/device acceptance are not established by this milestone.</x:v>
      </x:c>
      <x:c r="T49" s="1"/>
    </x:row>
    <x:row r="50" ht="87" customHeight="1">
      <x:c r="A50" s="16" t="str">
        <x:v>UX-040</x:v>
      </x:c>
      <x:c r="B50" s="17" t="str">
        <x:v>Execution</x:v>
      </x:c>
      <x:c r="C50" s="17" t="str">
        <x:v>Resume after app restart</x:v>
      </x:c>
      <x:c r="D50" s="17" t="str">
        <x:v>Present</x:v>
      </x:c>
      <x:c r="E50" s="17" t="str">
        <x:v>Bounded local run journals persist stream evidence. Restart recovers one incomplete record and pauses queued work without re-execution; save failures retain recovery state.</x:v>
      </x:c>
      <x:c r="F50" s="17" t="str">
        <x:v>Unverified</x:v>
      </x:c>
      <x:c r="G50" s="17" t="str">
        <x:v>Documented: long-running work [C5]</x:v>
      </x:c>
      <x:c r="H50" s="17" t="str">
        <x:v>Documented: resume sessions [D2]</x:v>
      </x:c>
      <x:c r="I50" s="17" t="str">
        <x:v>Recover pending work with truthful stopped/recoverable status.</x:v>
      </x:c>
      <x:c r="J50" s="17" t="str">
        <x:v>P1</x:v>
      </x:c>
      <x:c r="K50" s="17" t="str">
        <x:v>3 Trusted work</x:v>
      </x:c>
      <x:c r="L50" s="17" t="str">
        <x:v>Durable run checkpoints</x:v>
      </x:c>
      <x:c r="M50" s="17" t="str">
        <x:v>Restart during work preserves transcript and exposes recovery without duplicate execution.</x:v>
      </x:c>
      <x:c r="N50" s="10" t="str">
        <x:v>Verified</x:v>
      </x:c>
      <x:c r="O50" s="10" t="str">
        <x:v>Proposed</x:v>
      </x:c>
      <x:c r="P50" s="17" t="str">
        <x:v>2026-09-16: run-recovery.json; run-durability.json. Isolated tests passed; no live provider/device call. Owner acceptance pending.</x:v>
      </x:c>
      <x:c r="Q50" s="17" t="str">
        <x:v>Verified (scoped)</x:v>
      </x:c>
      <x:c r="R50" s="17" t="str">
        <x:v>Current lost-response/reload and explicit owner-safe receipt recovery pass in WSL Chrome. Native Windows packaged restart remains unverified. Evidence: docs/evidence/admission-2026-09-19/verification.json; browser-checks.json.</x:v>
      </x:c>
      <x:c r="S50" s="17" t="str">
        <x:v>This was an isolated browser/journal simulation, not a process crash of the packaged app. Windows behavior, owner UI approval and live provider/device acceptance are not established by this milestone.</x:v>
      </x:c>
      <x:c r="T50" s="1"/>
    </x:row>
    <x:row r="51" ht="72" customHeight="1">
      <x:c r="A51" s="14" t="str">
        <x:v>UX-041</x:v>
      </x:c>
      <x:c r="B51" s="15" t="str">
        <x:v>Messages</x:v>
      </x:c>
      <x:c r="C51" s="15" t="str">
        <x:v>Readable Markdown</x:v>
      </x:c>
      <x:c r="D51" s="15" t="str">
        <x:v>Present</x:v>
      </x:c>
      <x:c r="E51" s="15" t="str">
        <x:v>Common Markdown headings, lists, tables, emphasis, inline and fenced code render safely with preserved source text.</x:v>
      </x:c>
      <x:c r="F51" s="15" t="str">
        <x:v>Observed: formatted paragraphs and fixed-width text [G1]</x:v>
      </x:c>
      <x:c r="G51" s="15" t="str">
        <x:v>Observed: formatted text and lists [C0]</x:v>
      </x:c>
      <x:c r="H51" s="15" t="str">
        <x:v>Documented: formatted transcript [D1]</x:v>
      </x:c>
      <x:c r="I51" s="15" t="str">
        <x:v>Harden lists, tables, code, links and long content.</x:v>
      </x:c>
      <x:c r="J51" s="15" t="str">
        <x:v>P2</x:v>
      </x:c>
      <x:c r="K51" s="15" t="str">
        <x:v>2 Chat</x:v>
      </x:c>
      <x:c r="L51" s="15" t="str">
        <x:v>Renderer fixtures</x:v>
      </x:c>
      <x:c r="M51" s="15" t="str">
        <x:v>Representative network reports remain readable; untrusted HTML cannot execute.</x:v>
      </x:c>
      <x:c r="N51" s="13" t="str">
        <x:v>Verified</x:v>
      </x:c>
      <x:c r="O51" s="13" t="str">
        <x:v>Proposed</x:v>
      </x:c>
      <x:c r="P51" s="15" t="str">
        <x:v>2026-09-15: .intentgraph/evidence/ux-fixes-2026-09-15/edit-rendering.json; browser test exit 0. Mocked requests; owner acceptance pending.</x:v>
      </x:c>
      <x:c r="Q51" s="15" t="str">
        <x:v>Verified (scoped)</x:v>
      </x:c>
      <x:c r="R51" s="15" t="str">
        <x:v>No fresh acceptance run in this milestone; inherited dated effective evidence.</x:v>
      </x:c>
      <x:c r="S51" s="15" t="str">
        <x:v>No substantive gap in the representative readability and inert-HTML slice; broader sanitizer fuzzing remains outside. Windows behavior, owner UI approval and live provider/device acceptance are not established by this milestone.</x:v>
      </x:c>
      <x:c r="T51" s="1"/>
    </x:row>
    <x:row r="52" ht="117" customHeight="1">
      <x:c r="A52" s="16" t="str">
        <x:v>UX-042</x:v>
      </x:c>
      <x:c r="B52" s="17" t="str">
        <x:v>Messages</x:v>
      </x:c>
      <x:c r="C52" s="17" t="str">
        <x:v>Code blocks and exact copy</x:v>
      </x:c>
      <x:c r="D52" s="17" t="str">
        <x:v>Present</x:v>
      </x:c>
      <x:c r="E52" s="17" t="str">
        <x:v>Raw CLI appears once with exact-copy controls.</x:v>
      </x:c>
      <x:c r="F52" s="17" t="str">
        <x:v>Observed: fixed-width report observed [G1]</x:v>
      </x:c>
      <x:c r="G52" s="17" t="str">
        <x:v>Unverified</x:v>
      </x:c>
      <x:c r="H52" s="17" t="str">
        <x:v>Documented: terminal and transcript [D1]</x:v>
      </x:c>
      <x:c r="I52" s="17" t="str">
        <x:v>Preserve byte-faithful CLI evidence and separate formatted interpretation.</x:v>
      </x:c>
      <x:c r="J52" s="17" t="str">
        <x:v>P1</x:v>
      </x:c>
      <x:c r="K52" s="17" t="str">
        <x:v>Keep</x:v>
      </x:c>
      <x:c r="L52" s="17" t="str">
        <x:v>CLI regression</x:v>
      </x:c>
      <x:c r="M52" s="17" t="str">
        <x:v>Spaces, tabs and line breaks survive copy; no duplicate raw output.</x:v>
      </x:c>
      <x:c r="N52" s="10" t="str">
        <x:v>Verified</x:v>
      </x:c>
      <x:c r="O52" s="10" t="str">
        <x:v>Preserve</x:v>
      </x:c>
      <x:c r="P52" s="17" t="str">
        <x:v>2026-09-16: preservation audit PASS. .intentgraph/runtime/verify-queue-terminal.cjs:77-118 (exact raw whitespace/copy); .intentgraph/evidence/ux-fixes-2026-09-15/root-review.json Owner acceptance remains separate.</x:v>
      </x:c>
      <x:c r="Q52" s="17" t="str">
        <x:v>Verified (scoped)</x:v>
      </x:c>
      <x:c r="R52" s="17" t="str">
        <x:v>No fresh acceptance run in this milestone; inherited dated effective evidence.</x:v>
      </x:c>
      <x:c r="S52" s="17" t="str">
        <x:v>No substantive gap in the tested exact-copy and single-render slice; OS clipboard integration remains isolated. Windows behavior, owner UI approval and live provider/device acceptance are not established by this milestone.</x:v>
      </x:c>
      <x:c r="T52" s="1"/>
    </x:row>
    <x:row r="53" ht="117" customHeight="1">
      <x:c r="A53" s="18" t="str">
        <x:v>UX-043</x:v>
      </x:c>
      <x:c r="B53" s="19" t="str">
        <x:v>Messages</x:v>
      </x:c>
      <x:c r="C53" s="19" t="str">
        <x:v>Copy messages</x:v>
      </x:c>
      <x:c r="D53" s="19" t="str">
        <x:v>Present</x:v>
      </x:c>
      <x:c r="E53" s="19" t="str">
        <x:v>Copy question/answer and menu action exposed.</x:v>
      </x:c>
      <x:c r="F53" s="19" t="str">
        <x:v>Observed: Copy action [G1]</x:v>
      </x:c>
      <x:c r="G53" s="19" t="str">
        <x:v>Unverified</x:v>
      </x:c>
      <x:c r="H53" s="19" t="str">
        <x:v>Unverified</x:v>
      </x:c>
      <x:c r="I53" s="19" t="str">
        <x:v>Preserve accessible feedback and reliable text extraction.</x:v>
      </x:c>
      <x:c r="J53" s="19" t="str">
        <x:v>P2</x:v>
      </x:c>
      <x:c r="K53" s="19" t="str">
        <x:v>Keep</x:v>
      </x:c>
      <x:c r="L53" s="19" t="str">
        <x:v>Clipboard regression</x:v>
      </x:c>
      <x:c r="M53" s="19" t="str">
        <x:v>Copy uses correct message and reports failure without claiming success.</x:v>
      </x:c>
      <x:c r="N53" s="10" t="str">
        <x:v>Verified</x:v>
      </x:c>
      <x:c r="O53" s="10" t="str">
        <x:v>Preserve</x:v>
      </x:c>
      <x:c r="P53" s="19" t="str">
        <x:v>2026-09-16: preservation audit PASS. .intentgraph/evidence/pending-88-20260916/preserved-audit.json (clipboard denial reports failure); .intentgraph/evidence/message-tools.json (answer/question copy) Owner acceptance remains separate.</x:v>
      </x:c>
      <x:c r="Q53" s="19" t="str">
        <x:v>Verified (scoped)</x:v>
      </x:c>
      <x:c r="R53" s="19" t="str">
        <x:v>No fresh acceptance run in this milestone; inherited dated effective evidence.</x:v>
      </x:c>
      <x:c r="S53" s="19" t="str">
        <x:v>No substantive gap in correct-copy and denied-clipboard feedback; OS clipboard integration remains isolated. Windows behavior, owner UI approval and live provider/device acceptance are not established by this milestone.</x:v>
      </x:c>
      <x:c r="T53" s="1"/>
    </x:row>
    <x:row r="54" ht="87" customHeight="1">
      <x:c r="A54" s="16" t="str">
        <x:v>UX-044</x:v>
      </x:c>
      <x:c r="B54" s="17" t="str">
        <x:v>Messages</x:v>
      </x:c>
      <x:c r="C54" s="17" t="str">
        <x:v>Time grouping and metadata</x:v>
      </x:c>
      <x:c r="D54" s="17" t="str">
        <x:v>Present</x:v>
      </x:c>
      <x:c r="E54" s="17" t="str">
        <x:v>Local date separators and focusable timestamps with full accessible date/time. Invalid timestamps do not invent dates.</x:v>
      </x:c>
      <x:c r="F54" s="17" t="str">
        <x:v>Observed: date separators and exact time [G1]</x:v>
      </x:c>
      <x:c r="G54" s="17" t="str">
        <x:v>Unverified</x:v>
      </x:c>
      <x:c r="H54" s="17" t="str">
        <x:v>Unverified</x:v>
      </x:c>
      <x:c r="I54" s="17" t="str">
        <x:v>Keep secondary time metadata and group dates without clutter.</x:v>
      </x:c>
      <x:c r="J54" s="17" t="str">
        <x:v>P3</x:v>
      </x:c>
      <x:c r="K54" s="17" t="str">
        <x:v>2 Chat</x:v>
      </x:c>
      <x:c r="L54" s="17" t="str">
        <x:v>Date/time formatting</x:v>
      </x:c>
      <x:c r="M54" s="17" t="str">
        <x:v>Old and new days are clear; full timestamp accessible on focus or hover.</x:v>
      </x:c>
      <x:c r="N54" s="10" t="str">
        <x:v>Verified</x:v>
      </x:c>
      <x:c r="O54" s="10" t="str">
        <x:v>Proposed</x:v>
      </x:c>
      <x:c r="P54" s="17" t="str">
        <x:v>2026-09-15: .intentgraph/evidence/ux-fixes-2026-09-15/history-navigation.json; verify-history-navigation.cjs exit 0. Isolated mocked chat; owner acceptance pending.</x:v>
      </x:c>
      <x:c r="Q54" s="17" t="str">
        <x:v>Verified (scoped)</x:v>
      </x:c>
      <x:c r="R54" s="17" t="str">
        <x:v>No fresh acceptance run in this milestone; inherited dated effective evidence.</x:v>
      </x:c>
      <x:c r="S54" s="17" t="str">
        <x:v>No substantive gap in old/new grouping and focused labels; timezone presentation matrix remains outside. Windows behavior, owner UI approval and live provider/device acceptance are not established by this milestone.</x:v>
      </x:c>
      <x:c r="T54" s="1"/>
    </x:row>
    <x:row r="55" ht="87" customHeight="1">
      <x:c r="A55" s="18" t="str">
        <x:v>UX-045</x:v>
      </x:c>
      <x:c r="B55" s="19" t="str">
        <x:v>Messages</x:v>
      </x:c>
      <x:c r="C55" s="19" t="str">
        <x:v>Follow latest without jumping</x:v>
      </x:c>
      <x:c r="D55" s="19" t="str">
        <x:v>Present</x:v>
      </x:c>
      <x:c r="E55" s="19" t="str">
        <x:v>Output preserves older reading position; explicit keyboard Jump to latest and near-bottom following use a 120px threshold.</x:v>
      </x:c>
      <x:c r="F55" s="19" t="str">
        <x:v>Unverified</x:v>
      </x:c>
      <x:c r="G55" s="19" t="str">
        <x:v>Unverified</x:v>
      </x:c>
      <x:c r="H55" s="19" t="str">
        <x:v>Unverified</x:v>
      </x:c>
      <x:c r="I55" s="19" t="str">
        <x:v>Autofollow only near bottom; offer jump-to-latest when reading older work.</x:v>
      </x:c>
      <x:c r="J55" s="19" t="str">
        <x:v>P1</x:v>
      </x:c>
      <x:c r="K55" s="19" t="str">
        <x:v>2 Chat</x:v>
      </x:c>
      <x:c r="L55" s="19" t="str">
        <x:v>Scroll state test</x:v>
      </x:c>
      <x:c r="M55" s="19" t="str">
        <x:v>New output does not pull user away from an older message; latest button is keyboard usable.</x:v>
      </x:c>
      <x:c r="N55" s="10" t="str">
        <x:v>Verified</x:v>
      </x:c>
      <x:c r="O55" s="10" t="str">
        <x:v>Investigate</x:v>
      </x:c>
      <x:c r="P55" s="19" t="str">
        <x:v>2026-09-15: .intentgraph/evidence/ux-fixes-2026-09-15/history-navigation.json; verify-history-navigation.cjs exit 0. Isolated mocked chat; owner acceptance pending.</x:v>
      </x:c>
      <x:c r="Q55" s="19" t="str">
        <x:v>Verified (scoped)</x:v>
      </x:c>
      <x:c r="R55" s="19" t="str">
        <x:v>No fresh acceptance run in this milestone; inherited dated effective evidence.</x:v>
      </x:c>
      <x:c r="S55" s="19" t="str">
        <x:v>No substantive gap in the injected new-output/reading-position slice; live provider streaming is outside. Windows behavior, owner UI approval and live provider/device acceptance are not established by this milestone.</x:v>
      </x:c>
      <x:c r="T55" s="1"/>
    </x:row>
    <x:row r="56" ht="132" customHeight="1">
      <x:c r="A56" s="16" t="str">
        <x:v>UX-046</x:v>
      </x:c>
      <x:c r="B56" s="17" t="str">
        <x:v>Messages</x:v>
      </x:c>
      <x:c r="C56" s="17" t="str">
        <x:v>Conversation revert and undo</x:v>
      </x:c>
      <x:c r="D56" s="17" t="str">
        <x:v>Present</x:v>
      </x:c>
      <x:c r="E56" s="17" t="str">
        <x:v>Context-only revert stores removed history and undo.</x:v>
      </x:c>
      <x:c r="F56" s="17" t="str">
        <x:v>Unverified</x:v>
      </x:c>
      <x:c r="G56" s="17" t="str">
        <x:v>Unverified</x:v>
      </x:c>
      <x:c r="H56" s="17" t="str">
        <x:v>Documented: rewind/checkpoints [D2]</x:v>
      </x:c>
      <x:c r="I56" s="17" t="str">
        <x:v>Preserve explicit boundary: chat context changes do not undo device commands.</x:v>
      </x:c>
      <x:c r="J56" s="17" t="str">
        <x:v>P1</x:v>
      </x:c>
      <x:c r="K56" s="17" t="str">
        <x:v>Keep</x:v>
      </x:c>
      <x:c r="L56" s="17" t="str">
        <x:v>History mutation regression</x:v>
      </x:c>
      <x:c r="M56" s="17" t="str">
        <x:v>Revert and undo restore exact message history; busy or queued state is protected.</x:v>
      </x:c>
      <x:c r="N56" s="10" t="str">
        <x:v>Verified</x:v>
      </x:c>
      <x:c r="O56" s="10" t="str">
        <x:v>Preserve</x:v>
      </x:c>
      <x:c r="P56" s="17" t="str">
        <x:v>2026-09-16: preservation audit PASS. .intentgraph/evidence/ux-fixes-2026-09-15/history-regression.json (revert no execution, undo after reload); .intentgraph/runtime/verify-edit-rendering.cjs:1-16 (queued edit disabled) Owner acceptance remains separate.</x:v>
      </x:c>
      <x:c r="Q56" s="17" t="str">
        <x:v>Partial</x:v>
      </x:c>
      <x:c r="R56" s="17" t="str">
        <x:v>No fresh acceptance run in this milestone; inherited dated effective evidence.</x:v>
      </x:c>
      <x:c r="S56" s="17" t="str">
        <x:v>The busy active-run protection branch is not exercised; queued-work protection alone does not close the full acceptance. Windows behavior, owner UI approval and live provider/device acceptance are not established by this milestone.</x:v>
      </x:c>
      <x:c r="T56" s="1"/>
    </x:row>
    <x:row r="57" ht="87" customHeight="1">
      <x:c r="A57" s="18" t="str">
        <x:v>UX-047</x:v>
      </x:c>
      <x:c r="B57" s="19" t="str">
        <x:v>Messages</x:v>
      </x:c>
      <x:c r="C57" s="19" t="str">
        <x:v>Fork or side conversation</x:v>
      </x:c>
      <x:c r="D57" s="19" t="str">
        <x:v>Present</x:v>
      </x:c>
      <x:c r="E57" s="19" t="str">
        <x:v>Named local forks retain the selected message prefix and raw provenance. Parent history/draft/queue unchanged; origin link survives reload and storage failures roll back.</x:v>
      </x:c>
      <x:c r="F57" s="19" t="str">
        <x:v>Unverified</x:v>
      </x:c>
      <x:c r="G57" s="19" t="str">
        <x:v>Documented: side chat [C4]</x:v>
      </x:c>
      <x:c r="H57" s="19" t="str">
        <x:v>Documented: side chat [D1]</x:v>
      </x:c>
      <x:c r="I57" s="19" t="str">
        <x:v>Add context-preserving exploration without replacing the main investigation.</x:v>
      </x:c>
      <x:c r="J57" s="19" t="str">
        <x:v>P2</x:v>
      </x:c>
      <x:c r="K57" s="19" t="str">
        <x:v>3 Trusted work</x:v>
      </x:c>
      <x:c r="L57" s="19" t="str">
        <x:v>Durable conversation IDs</x:v>
      </x:c>
      <x:c r="M57" s="19" t="str">
        <x:v>Branch retains provenance and can be revisited without mutating parent history.</x:v>
      </x:c>
      <x:c r="N57" s="10" t="str">
        <x:v>Verified</x:v>
      </x:c>
      <x:c r="O57" s="10" t="str">
        <x:v>Proposed</x:v>
      </x:c>
      <x:c r="P57" s="19" t="str">
        <x:v>2026-09-15: .intentgraph/evidence/ux-fixes-2026-09-15/history-navigation.json; verify-history-navigation.cjs exit 0. Isolated mocked chat; owner acceptance pending.</x:v>
      </x:c>
      <x:c r="Q57" s="19" t="str">
        <x:v>Verified (scoped)</x:v>
      </x:c>
      <x:c r="R57" s="19" t="str">
        <x:v>No fresh acceptance run in this milestone; inherited dated effective evidence.</x:v>
      </x:c>
      <x:c r="S57" s="19" t="str">
        <x:v>No substantive gap in fork provenance, parent immutability and reload revisit; cross-device sync remains outside. Windows behavior, owner UI approval and live provider/device acceptance are not established by this milestone.</x:v>
      </x:c>
      <x:c r="T57" s="1"/>
    </x:row>
    <x:row r="58" ht="87" customHeight="1">
      <x:c r="A58" s="16" t="str">
        <x:v>UX-048</x:v>
      </x:c>
      <x:c r="B58" s="17" t="str">
        <x:v>Messages</x:v>
      </x:c>
      <x:c r="C58" s="17" t="str">
        <x:v>Direct links to evidence/messages</x:v>
      </x:c>
      <x:c r="D58" s="17" t="str">
        <x:v>Present</x:v>
      </x:c>
      <x:c r="E58" s="17" t="str">
        <x:v>Copy a local message link and open its exact saved chat/message. Missing and archived destinations give explanations. Links are scoped to this browser workspace.</x:v>
      </x:c>
      <x:c r="F58" s="17" t="str">
        <x:v>Unverified</x:v>
      </x:c>
      <x:c r="G58" s="17" t="str">
        <x:v>Documented: chat deep links [C4]</x:v>
      </x:c>
      <x:c r="H58" s="17" t="str">
        <x:v>Unverified</x:v>
      </x:c>
      <x:c r="I58" s="17" t="str">
        <x:v>Add stable links for local navigation and exported evidence.</x:v>
      </x:c>
      <x:c r="J58" s="17" t="str">
        <x:v>P2</x:v>
      </x:c>
      <x:c r="K58" s="17" t="str">
        <x:v>3 Trusted work</x:v>
      </x:c>
      <x:c r="L58" s="17" t="str">
        <x:v>Persistence and permissions</x:v>
      </x:c>
      <x:c r="M58" s="17" t="str">
        <x:v>Link opens correct conversation/message; missing or archived targets have a clear explanation.</x:v>
      </x:c>
      <x:c r="N58" s="10" t="str">
        <x:v>Verified</x:v>
      </x:c>
      <x:c r="O58" s="10" t="str">
        <x:v>Proposed</x:v>
      </x:c>
      <x:c r="P58" s="17" t="str">
        <x:v>2026-09-16: run-recovery.json. Isolated tests passed; no live provider/device call. Owner acceptance pending.</x:v>
      </x:c>
      <x:c r="Q58" s="17" t="str">
        <x:v>Verified (scoped)</x:v>
      </x:c>
      <x:c r="R58" s="17" t="str">
        <x:v>No fresh acceptance run in this milestone; inherited dated effective evidence.</x:v>
      </x:c>
      <x:c r="S58" s="17" t="str">
        <x:v>No substantive gap in the v9 live existing/missing/archived local-link slice; external URL handling remains outside. Windows behavior, owner UI approval and live provider/device acceptance are not established by this milestone.</x:v>
      </x:c>
      <x:c r="T58" s="1"/>
    </x:row>
    <x:row r="59" ht="117" customHeight="1">
      <x:c r="A59" s="18" t="str">
        <x:v>UX-049</x:v>
      </x:c>
      <x:c r="B59" s="19" t="str">
        <x:v>Messages</x:v>
      </x:c>
      <x:c r="C59" s="19" t="str">
        <x:v>Reaction picker beyond defaults</x:v>
      </x:c>
      <x:c r="D59" s="19" t="str">
        <x:v>Present</x:v>
      </x:c>
      <x:c r="E59" s="19" t="str">
        <x:v>More opens ten additional reactions. Selection, replacement, clearing and reload use the same single local reaction rule.</x:v>
      </x:c>
      <x:c r="F59" s="19" t="str">
        <x:v>Observed: More emoji control [G1]</x:v>
      </x:c>
      <x:c r="G59" s="19" t="str">
        <x:v>Unverified</x:v>
      </x:c>
      <x:c r="H59" s="19" t="str">
        <x:v>Unverified</x:v>
      </x:c>
      <x:c r="I59" s="19" t="str">
        <x:v>Add a compact accessible picker only after single-reaction behavior is correct.</x:v>
      </x:c>
      <x:c r="J59" s="19" t="str">
        <x:v>P3</x:v>
      </x:c>
      <x:c r="K59" s="19" t="str">
        <x:v>2 Chat</x:v>
      </x:c>
      <x:c r="L59" s="19" t="str">
        <x:v>UX-005 and UX-006</x:v>
      </x:c>
      <x:c r="M59" s="19" t="str">
        <x:v>Picker supports search/navigation and closes without moving the message.</x:v>
      </x:c>
      <x:c r="N59" s="10" t="str">
        <x:v>Verified</x:v>
      </x:c>
      <x:c r="O59" s="10" t="str">
        <x:v>Proposed</x:v>
      </x:c>
      <x:c r="P59" s="19" t="str">
        <x:v>2026-09-15: .intentgraph/evidence/ux-fixes-2026-09-15/{root-review.json,history-regression.json,reaction-recovery.json}; isolated browser checks exit 0. No provider/device calls; no physical-device or owner acceptance.</x:v>
      </x:c>
      <x:c r="Q59" s="19" t="str">
        <x:v>Verified (scoped)</x:v>
      </x:c>
      <x:c r="R59" s="19" t="str">
        <x:v>No fresh acceptance run in this milestone; inherited dated effective evidence.</x:v>
      </x:c>
      <x:c r="S59" s="19" t="str">
        <x:v>The reaction candidate covers search, contained keyboard navigation, Escape focus return and persistence, but its isolated candidate browser run is not a fresh served v9.1 run; screen-reader, visual-reference and multi-device checks remain outside. Windows behavior, owner UI approval and live provider/device acceptance are not established by this milestone.</x:v>
      </x:c>
      <x:c r="T59" s="1"/>
    </x:row>
    <x:row r="60" ht="132" customHeight="1">
      <x:c r="A60" s="20" t="str">
        <x:v>UX-050</x:v>
      </x:c>
      <x:c r="B60" s="21" t="str">
        <x:v>History</x:v>
      </x:c>
      <x:c r="C60" s="21" t="str">
        <x:v>Archive and restore</x:v>
      </x:c>
      <x:c r="D60" s="21" t="str">
        <x:v>Present</x:v>
      </x:c>
      <x:c r="E60" s="21" t="str">
        <x:v>Settings contains Archived chats; empty state observed.</x:v>
      </x:c>
      <x:c r="F60" s="21" t="str">
        <x:v>Unverified</x:v>
      </x:c>
      <x:c r="G60" s="21" t="str">
        <x:v>Documented: archive and restore in Settings [C2]</x:v>
      </x:c>
      <x:c r="H60" s="21" t="str">
        <x:v>Documented: archive sessions [D1]</x:v>
      </x:c>
      <x:c r="I60" s="21" t="str">
        <x:v>Keep recoverable archive separate from deletion.</x:v>
      </x:c>
      <x:c r="J60" s="21" t="str">
        <x:v>P1</x:v>
      </x:c>
      <x:c r="K60" s="21" t="str">
        <x:v>Keep</x:v>
      </x:c>
      <x:c r="L60" s="21" t="str">
        <x:v>Archive regression</x:v>
      </x:c>
      <x:c r="M60" s="21" t="str">
        <x:v>Archived chat is read-only until restored; messages and evidence survive.</x:v>
      </x:c>
      <x:c r="N60" s="13" t="str">
        <x:v>Verified</x:v>
      </x:c>
      <x:c r="O60" s="13" t="str">
        <x:v>Preserve</x:v>
      </x:c>
      <x:c r="P60" s="21" t="str">
        <x:v>2026-09-16: preservation audit PASS. .intentgraph/evidence/project-navigation.json (archive/restore/reload and busy guard); .intentgraph/evidence/ux-fixes-2026-09-15/history-navigation.json (archived read-only) Owner acceptance remains separate.</x:v>
      </x:c>
      <x:c r="Q60" s="21" t="str">
        <x:v>Partial</x:v>
      </x:c>
      <x:c r="R60" s="21" t="str">
        <x:v>No fresh acceptance run in this milestone; inherited dated effective evidence.</x:v>
      </x:c>
      <x:c r="S60" s="21" t="str">
        <x:v>The archive/restore check confirms composer state and one message, but does not deep-compare the full message/evidence payload before and after restore. Windows behavior, owner UI approval and live provider/device acceptance are not established by this milestone.</x:v>
      </x:c>
      <x:c r="T60" s="1"/>
    </x:row>
    <x:row r="61" ht="117" customHeight="1">
      <x:c r="A61" s="18" t="str">
        <x:v>UX-051</x:v>
      </x:c>
      <x:c r="B61" s="19" t="str">
        <x:v>History</x:v>
      </x:c>
      <x:c r="C61" s="19" t="str">
        <x:v>Export conversations and evidence</x:v>
      </x:c>
      <x:c r="D61" s="19" t="str">
        <x:v>Present</x:v>
      </x:c>
      <x:c r="E61" s="19" t="str">
        <x:v>Workspace JSON and selected conversation Markdown exports include timestamps, drafts, notes and exact raw evidence. Backend credentials and attachment contents are not read.</x:v>
      </x:c>
      <x:c r="F61" s="19" t="str">
        <x:v>Unverified</x:v>
      </x:c>
      <x:c r="G61" s="19" t="str">
        <x:v>Unverified</x:v>
      </x:c>
      <x:c r="H61" s="19" t="str">
        <x:v>Documented: transcript export [D2]</x:v>
      </x:c>
      <x:c r="I61" s="19" t="str">
        <x:v>Provide human-readable report plus structured evidence export.</x:v>
      </x:c>
      <x:c r="J61" s="19" t="str">
        <x:v>P2</x:v>
      </x:c>
      <x:c r="K61" s="19" t="str">
        <x:v>3 Trusted work</x:v>
      </x:c>
      <x:c r="L61" s="19" t="str">
        <x:v>Redaction and provenance</x:v>
      </x:c>
      <x:c r="M61" s="19" t="str">
        <x:v>Export contains correct selected scope, timestamps and exact evidence without credentials.</x:v>
      </x:c>
      <x:c r="N61" s="10" t="str">
        <x:v>Verified</x:v>
      </x:c>
      <x:c r="O61" s="10" t="str">
        <x:v>Proposed</x:v>
      </x:c>
      <x:c r="P61" s="19" t="str">
        <x:v>2026-09-15: local-data-ui.json; browser test exit 0. verify-backup-schema.cjs 9/9 passed, including private-field rejection, exact evidence, UTF-8 size boundary and interrupted-import recovery. Owner acceptance pending.</x:v>
      </x:c>
      <x:c r="Q61" s="19" t="str">
        <x:v>Partial</x:v>
      </x:c>
      <x:c r="R61" s="19" t="str">
        <x:v>No fresh acceptance run in this milestone; inherited dated effective evidence.</x:v>
      </x:c>
      <x:c r="S61" s="19" t="str">
        <x:v>Export checks format, selected chat presence, pin metadata and token exclusion, but does not assert exact selected scope, timestamps and raw evidence comprehensively. Windows behavior, owner UI approval and live provider/device acceptance are not established by this milestone.</x:v>
      </x:c>
      <x:c r="T61" s="1"/>
    </x:row>
    <x:row r="62" ht="117" customHeight="1">
      <x:c r="A62" s="16" t="str">
        <x:v>UX-052</x:v>
      </x:c>
      <x:c r="B62" s="17" t="str">
        <x:v>History</x:v>
      </x:c>
      <x:c r="C62" s="17" t="str">
        <x:v>Import and backup recovery</x:v>
      </x:c>
      <x:c r="D62" s="17" t="str">
        <x:v>Present</x:v>
      </x:c>
      <x:c r="E62" s="17" t="str">
        <x:v>Validated import preview. Add mode remaps collisions and preserves existing work; explicit Replace keeps a recovery backup. Imported queues pause. Write failures and interrupted imports recover before startup migration.</x:v>
      </x:c>
      <x:c r="F62" s="17" t="str">
        <x:v>Unverified</x:v>
      </x:c>
      <x:c r="G62" s="17" t="str">
        <x:v>Unverified</x:v>
      </x:c>
      <x:c r="H62" s="17" t="str">
        <x:v>Unverified</x:v>
      </x:c>
      <x:c r="I62" s="17" t="str">
        <x:v>Add validated restore preview with conflict handling.</x:v>
      </x:c>
      <x:c r="J62" s="17" t="str">
        <x:v>P1</x:v>
      </x:c>
      <x:c r="K62" s="17" t="str">
        <x:v>3 Trusted work</x:v>
      </x:c>
      <x:c r="L62" s="17" t="str">
        <x:v>Versioned storage schema</x:v>
      </x:c>
      <x:c r="M62" s="17" t="str">
        <x:v>Invalid backup changes nothing. Valid restore preserves unrelated current work.</x:v>
      </x:c>
      <x:c r="N62" s="10" t="str">
        <x:v>Verified</x:v>
      </x:c>
      <x:c r="O62" s="10" t="str">
        <x:v>Proposed</x:v>
      </x:c>
      <x:c r="P62" s="17" t="str">
        <x:v>2026-09-15: local-data-ui.json; browser test exit 0. verify-backup-schema.cjs 9/9 passed, including private-field rejection, exact evidence, UTF-8 size boundary and interrupted-import recovery. Owner acceptance pending.</x:v>
      </x:c>
      <x:c r="Q62" s="17" t="str">
        <x:v>Verified (scoped)</x:v>
      </x:c>
      <x:c r="R62" s="17" t="str">
        <x:v>No fresh acceptance run in this milestone; inherited dated effective evidence.</x:v>
      </x:c>
      <x:c r="S62" s="17" t="str">
        <x:v>No substantive gap in invalid-JSON safety plus valid Add-mode preservation of unrelated work, pins and queues; the check is local-browser scoped. Windows behavior, owner UI approval and live provider/device acceptance are not established by this milestone.</x:v>
      </x:c>
      <x:c r="T62" s="1"/>
    </x:row>
    <x:row r="63" ht="42" customHeight="1">
      <x:c r="A63" s="18" t="str">
        <x:v>UX-053</x:v>
      </x:c>
      <x:c r="B63" s="19" t="str">
        <x:v>History</x:v>
      </x:c>
      <x:c r="C63" s="19" t="str">
        <x:v>Durable cross-device histories</x:v>
      </x:c>
      <x:c r="D63" s="19" t="str">
        <x:v>Missing</x:v>
      </x:c>
      <x:c r="E63" s="19" t="str">
        <x:v>Browser storage is local; no account sync or tenant history service.</x:v>
      </x:c>
      <x:c r="F63" s="19" t="str">
        <x:v>Unverified</x:v>
      </x:c>
      <x:c r="G63" s="19" t="str">
        <x:v>Unverified</x:v>
      </x:c>
      <x:c r="H63" s="19" t="str">
        <x:v>Documented: local/cloud sessions, different scope [D1]</x:v>
      </x:c>
      <x:c r="I63" s="19" t="str">
        <x:v>Defer sync until identity and ownership contracts exist.</x:v>
      </x:c>
      <x:c r="J63" s="19" t="str">
        <x:v>P2</x:v>
      </x:c>
      <x:c r="K63" s="19" t="str">
        <x:v>4 Extend</x:v>
      </x:c>
      <x:c r="L63" s="19" t="str">
        <x:v>2026-09-16 user decision: keep cross-device history, accounts/customer isolation and remote handoff pending; finish local features first.</x:v>
      </x:c>
      <x:c r="M63" s="19" t="str">
        <x:v>Two devices show consistent authorized history with explicit conflict handling.</x:v>
      </x:c>
      <x:c r="N63" s="10" t="str">
        <x:v>Deferred</x:v>
      </x:c>
      <x:c r="O63" s="10" t="str">
        <x:v>Proposed</x:v>
      </x:c>
      <x:c r="P63" s="19" t="str">
        <x:v>architecture.json; polished.js persistence; polished.js:19-58,158-174,460,481</x:v>
      </x:c>
      <x:c r="Q63" s="19" t="str">
        <x:v>Deferred</x:v>
      </x:c>
      <x:c r="R63" s="19" t="str">
        <x:v>No fresh acceptance run in this milestone; inherited dated effective evidence.</x:v>
      </x:c>
      <x:c r="S63" s="19" t="str">
        <x:v>No cross-device service exists in this build. Windows behavior, owner UI approval and live provider/device acceptance are not established by this milestone.</x:v>
      </x:c>
      <x:c r="T63" s="1"/>
    </x:row>
    <x:row r="64" ht="132" customHeight="1">
      <x:c r="A64" s="20" t="str">
        <x:v>UX-054</x:v>
      </x:c>
      <x:c r="B64" s="21" t="str">
        <x:v>Coworkers</x:v>
      </x:c>
      <x:c r="C64" s="21" t="str">
        <x:v>Avatar family and appearance</x:v>
      </x:c>
      <x:c r="D64" s="21" t="str">
        <x:v>Present</x:v>
      </x:c>
      <x:c r="E64" s="21" t="str">
        <x:v>Expanded avatar family and appearance chooser.</x:v>
      </x:c>
      <x:c r="F64" s="21" t="str">
        <x:v>Observed: distinct bot avatars [G1]</x:v>
      </x:c>
      <x:c r="G64" s="21" t="str">
        <x:v>Unverified</x:v>
      </x:c>
      <x:c r="H64" s="21" t="str">
        <x:v>Unverified</x:v>
      </x:c>
      <x:c r="I64" s="21" t="str">
        <x:v>Keep approved artwork and persistent selection.</x:v>
      </x:c>
      <x:c r="J64" s="21" t="str">
        <x:v>P2</x:v>
      </x:c>
      <x:c r="K64" s="21" t="str">
        <x:v>Keep</x:v>
      </x:c>
      <x:c r="L64" s="21" t="str">
        <x:v>Avatar regression</x:v>
      </x:c>
      <x:c r="M64" s="21" t="str">
        <x:v>Saved avatars remain the same after migration and reload.</x:v>
      </x:c>
      <x:c r="N64" s="13" t="str">
        <x:v>Verified</x:v>
      </x:c>
      <x:c r="O64" s="13" t="str">
        <x:v>Preserve</x:v>
      </x:c>
      <x:c r="P64" s="21" t="str">
        <x:v>2026-09-16: preservation audit PASS. .intentgraph/avatar-family-app-qa-results.json (all avatar choices/custom color/photo/migration/reload; no external requests); .intentgraph/runtime/verify-backup-schema.cjs:4,15-28 Owner acceptance remains separate.</x:v>
      </x:c>
      <x:c r="Q64" s="21" t="str">
        <x:v>Verified (scoped)</x:v>
      </x:c>
      <x:c r="R64" s="21" t="str">
        <x:v>No fresh acceptance run in this milestone; inherited dated effective evidence.</x:v>
      </x:c>
      <x:c r="S64" s="21" t="str">
        <x:v>No substantive gap in legacy avatar normalization, chosen avatar persistence and reload; the check uses one legacy fixture. Windows behavior, owner UI approval and live provider/device acceptance are not established by this milestone.</x:v>
      </x:c>
      <x:c r="T64" s="1"/>
    </x:row>
    <x:row r="65" ht="132" customHeight="1">
      <x:c r="A65" s="18" t="str">
        <x:v>UX-055</x:v>
      </x:c>
      <x:c r="B65" s="19" t="str">
        <x:v>Coworkers</x:v>
      </x:c>
      <x:c r="C65" s="19" t="str">
        <x:v>Name, label and description</x:v>
      </x:c>
      <x:c r="D65" s="19" t="str">
        <x:v>Present</x:v>
      </x:c>
      <x:c r="E65" s="19" t="str">
        <x:v>Editable profile fields exist.</x:v>
      </x:c>
      <x:c r="F65" s="19" t="str">
        <x:v>Observed: name, label and description [G1]</x:v>
      </x:c>
      <x:c r="G65" s="19" t="str">
        <x:v>Unverified</x:v>
      </x:c>
      <x:c r="H65" s="19" t="str">
        <x:v>Unverified</x:v>
      </x:c>
      <x:c r="I65" s="19" t="str">
        <x:v>Keep plain editing and save feedback.</x:v>
      </x:c>
      <x:c r="J65" s="19" t="str">
        <x:v>P2</x:v>
      </x:c>
      <x:c r="K65" s="19" t="str">
        <x:v>Keep</x:v>
      </x:c>
      <x:c r="L65" s="19" t="str">
        <x:v>UX-004</x:v>
      </x:c>
      <x:c r="M65" s="19" t="str">
        <x:v>Long name remains readable; saved changes update selected coworker only.</x:v>
      </x:c>
      <x:c r="N65" s="10" t="str">
        <x:v>Verified</x:v>
      </x:c>
      <x:c r="O65" s="10" t="str">
        <x:v>Preserve</x:v>
      </x:c>
      <x:c r="P65" s="19" t="str">
        <x:v>2026-09-16: preservation audit PASS. .intentgraph/evidence/ux-fixes-2026-09-15/root-identity-review.json (profile identity/rename sync); .intentgraph/avatar-family-app-qa-results.json (long-name responsive fixture) Owner acceptance remains separate.</x:v>
      </x:c>
      <x:c r="Q65" s="19" t="str">
        <x:v>Partial</x:v>
      </x:c>
      <x:c r="R65" s="19" t="str">
        <x:v>No fresh acceptance run in this milestone; inherited dated effective evidence.</x:v>
      </x:c>
      <x:c r="S65" s="19" t="str">
        <x:v>The long label remains selected-only, but only one long name is exercised and persisted reload of the saved edit is not asserted. Windows behavior, owner UI approval and live provider/device acceptance are not established by this milestone.</x:v>
      </x:c>
      <x:c r="T65" s="1"/>
    </x:row>
    <x:row r="66" ht="87" customHeight="1">
      <x:c r="A66" s="16" t="str">
        <x:v>UX-056</x:v>
      </x:c>
      <x:c r="B66" s="17" t="str">
        <x:v>Coworkers</x:v>
      </x:c>
      <x:c r="C66" s="17" t="str">
        <x:v>Behavior and document access</x:v>
      </x:c>
      <x:c r="D66" s="17" t="str">
        <x:v>Partial</x:v>
      </x:c>
      <x:c r="E66" s="17" t="str">
        <x:v>SOUL/MEMORY local documents state their scope; save failure rolls back stored text and retains edits. Model-connected behavior/memory instructions remain pending.</x:v>
      </x:c>
      <x:c r="F66" s="17" t="str">
        <x:v>Unverified</x:v>
      </x:c>
      <x:c r="G66" s="17" t="str">
        <x:v>Documented: agent instructions and skills [C6]</x:v>
      </x:c>
      <x:c r="H66" s="17" t="str">
        <x:v>Documented: shared configuration [D1]</x:v>
      </x:c>
      <x:c r="I66" s="17" t="str">
        <x:v>Make behavior instructions and memory distinguishable and inspectable.</x:v>
      </x:c>
      <x:c r="J66" s="17" t="str">
        <x:v>P1</x:v>
      </x:c>
      <x:c r="K66" s="17" t="str">
        <x:v>3 Trusted work</x:v>
      </x:c>
      <x:c r="L66" s="17" t="str">
        <x:v>Explicit behavior/memory runtime injection</x:v>
      </x:c>
      <x:c r="M66" s="17" t="str">
        <x:v>Editing document explains effect and scope; saved content is the content actually used.</x:v>
      </x:c>
      <x:c r="N66" s="10" t="str">
        <x:v>Implemented</x:v>
      </x:c>
      <x:c r="O66" s="10" t="str">
        <x:v>Proposed</x:v>
      </x:c>
      <x:c r="P66" s="17" t="str">
        <x:v>2026-09-16: pane-controls.json. Remaining scope is explicit; not marked complete.</x:v>
      </x:c>
      <x:c r="Q66" s="17" t="str">
        <x:v>Partial</x:v>
      </x:c>
      <x:c r="R66" s="17" t="str">
        <x:v>No fresh acceptance run in this milestone; inherited dated effective evidence.</x:v>
      </x:c>
      <x:c r="S66" s="17" t="str">
        <x:v>Saving and consuming the same document in a real model request were not demonstrated. Windows behavior, owner UI approval and live provider/device acceptance are not established by this milestone.</x:v>
      </x:c>
      <x:c r="T66" s="1"/>
    </x:row>
    <x:row r="67" ht="72" customHeight="1">
      <x:c r="A67" s="18" t="str">
        <x:v>UX-057</x:v>
      </x:c>
      <x:c r="B67" s="19" t="str">
        <x:v>Coworkers</x:v>
      </x:c>
      <x:c r="C67" s="19" t="str">
        <x:v>Notification preference</x:v>
      </x:c>
      <x:c r="D67" s="19" t="str">
        <x:v>Partial</x:v>
      </x:c>
      <x:c r="E67" s="19" t="str">
        <x:v>Muted coworkers suppress local completion notices. Enabled notices open the finished message. Waiting/error attention alerts remain pending.</x:v>
      </x:c>
      <x:c r="F67" s="19" t="str">
        <x:v>Observed: completion/input notification switch [G1]</x:v>
      </x:c>
      <x:c r="G67" s="19" t="str">
        <x:v>Documented: notifications [C1]</x:v>
      </x:c>
      <x:c r="H67" s="19" t="str">
        <x:v>Unverified</x:v>
      </x:c>
      <x:c r="I67" s="19" t="str">
        <x:v>Connect preference to real delivery or mark it unavailable.</x:v>
      </x:c>
      <x:c r="J67" s="19" t="str">
        <x:v>P1</x:v>
      </x:c>
      <x:c r="K67" s="19" t="str">
        <x:v>3 Trusted work</x:v>
      </x:c>
      <x:c r="L67" s="19" t="str">
        <x:v>Notification event channel</x:v>
      </x:c>
      <x:c r="M67" s="19" t="str">
        <x:v>Muted coworker stays quiet; enabled alerts link to the correct finished/waiting run.</x:v>
      </x:c>
      <x:c r="N67" s="10" t="str">
        <x:v>Implemented</x:v>
      </x:c>
      <x:c r="O67" s="10" t="str">
        <x:v>Proposed</x:v>
      </x:c>
      <x:c r="P67" s="19" t="str">
        <x:v>2026-09-16: alerts.json. Implemented slice verified; full feature remains pending.</x:v>
      </x:c>
      <x:c r="Q67" s="19" t="str">
        <x:v>Partial</x:v>
      </x:c>
      <x:c r="R67" s="19" t="str">
        <x:v>No fresh acceptance run in this milestone; inherited dated effective evidence.</x:v>
      </x:c>
      <x:c r="S67" s="19" t="str">
        <x:v>Finished enabled and muted paths pass, but waiting/error alert variants remain owned by the unintegrated automation alert core. Windows behavior, owner UI approval and live provider/device acceptance are not established by this milestone.</x:v>
      </x:c>
      <x:c r="T67" s="1"/>
    </x:row>
    <x:row r="68" ht="70" customHeight="1">
      <x:c r="A68" s="16" t="str">
        <x:v>UX-058</x:v>
      </x:c>
      <x:c r="B68" s="17" t="str">
        <x:v>Coworkers</x:v>
      </x:c>
      <x:c r="C68" s="17" t="str">
        <x:v>Simple creation and first welcome</x:v>
      </x:c>
      <x:c r="D68" s="17" t="str">
        <x:v>Present</x:v>
      </x:c>
      <x:c r="E68" s="17" t="str">
        <x:v>Coworker creation adds a visibly local welcome. Welcome is excluded from outgoing model history.</x:v>
      </x:c>
      <x:c r="F68" s="17" t="str">
        <x:v>Observed: New Bot entry [G1]</x:v>
      </x:c>
      <x:c r="G68" s="17" t="str">
        <x:v>Observed: New chat [C0]</x:v>
      </x:c>
      <x:c r="H68" s="17" t="str">
        <x:v>Documented: New session [D1]</x:v>
      </x:c>
      <x:c r="I68" s="17" t="str">
        <x:v>Use name, purpose and appearance with a clear first action.</x:v>
      </x:c>
      <x:c r="J68" s="17" t="str">
        <x:v>P1</x:v>
      </x:c>
      <x:c r="K68" s="17" t="str">
        <x:v>2 Chat</x:v>
      </x:c>
      <x:c r="L68" s="17" t="str">
        <x:v>UX-007</x:v>
      </x:c>
      <x:c r="M68" s="17" t="str">
        <x:v>Welcome is visibly local and never sent as fabricated model history.</x:v>
      </x:c>
      <x:c r="N68" s="10" t="str">
        <x:v>Verified</x:v>
      </x:c>
      <x:c r="O68" s="10" t="str">
        <x:v>Proposed</x:v>
      </x:c>
      <x:c r="P68" s="17" t="str">
        <x:v>2026-09-16: accessibility-results.json UX058. Local isolated checks passed; owner acceptance separate.</x:v>
      </x:c>
      <x:c r="Q68" s="17" t="str">
        <x:v>Verified (scoped)</x:v>
      </x:c>
      <x:c r="R68" s="17" t="str">
        <x:v>No fresh acceptance run in this milestone; inherited dated effective evidence.</x:v>
      </x:c>
      <x:c r="S68" s="17" t="str">
        <x:v>No substantive gap in local welcome semantics and persisted first-chat behavior; no model/provider request or cross-device storage is exercised. Windows behavior, owner UI approval and live provider/device acceptance are not established by this milestone.</x:v>
      </x:c>
      <x:c r="T68" s="1"/>
    </x:row>
    <x:row r="69" ht="117" customHeight="1">
      <x:c r="A69" s="14" t="str">
        <x:v>UX-059</x:v>
      </x:c>
      <x:c r="B69" s="15" t="str">
        <x:v>Settings</x:v>
      </x:c>
      <x:c r="C69" s="15" t="str">
        <x:v>Appearance and density</x:v>
      </x:c>
      <x:c r="D69" s="15" t="str">
        <x:v>Present</x:v>
      </x:c>
      <x:c r="E69" s="15" t="str">
        <x:v>Comfortable and Compact density styles with light/dark themes. Save, cancel, reload and storage-failure behavior verified.</x:v>
      </x:c>
      <x:c r="F69" s="15" t="str">
        <x:v>Unverified</x:v>
      </x:c>
      <x:c r="G69" s="15" t="str">
        <x:v>Unverified</x:v>
      </x:c>
      <x:c r="H69" s="15" t="str">
        <x:v>Documented: theme/display options [D2]</x:v>
      </x:c>
      <x:c r="I69" s="15" t="str">
        <x:v>Keep restrained theme and readable density options.</x:v>
      </x:c>
      <x:c r="J69" s="15" t="str">
        <x:v>P2</x:v>
      </x:c>
      <x:c r="K69" s="15" t="str">
        <x:v>Keep</x:v>
      </x:c>
      <x:c r="L69" s="15" t="str">
        <x:v>Theme and contrast verification</x:v>
      </x:c>
      <x:c r="M69" s="15" t="str">
        <x:v>Both themes preserve readable controls and evidence; settings persist.</x:v>
      </x:c>
      <x:c r="N69" s="13" t="str">
        <x:v>Verified</x:v>
      </x:c>
      <x:c r="O69" s="13" t="str">
        <x:v>Preserve</x:v>
      </x:c>
      <x:c r="P69" s="15" t="str">
        <x:v>2026-09-15: local-data-ui.json; browser test exit 0. verify-backup-schema.cjs 9/9 passed, including private-field rejection, exact evidence, UTF-8 size boundary and interrupted-import recovery. Owner acceptance pending.</x:v>
      </x:c>
      <x:c r="Q69" s="15" t="str">
        <x:v>Partial</x:v>
      </x:c>
      <x:c r="R69" s="15" t="str">
        <x:v>No fresh acceptance run in this milestone; inherited dated effective evidence.</x:v>
      </x:c>
      <x:c r="S69" s="15" t="str">
        <x:v>Both theme colors/readability and save/cancel pass, but persistence across a reload is not asserted. Windows behavior, owner UI approval and live provider/device acceptance are not established by this milestone.</x:v>
      </x:c>
      <x:c r="T69" s="1"/>
    </x:row>
    <x:row r="70" ht="87" customHeight="1">
      <x:c r="A70" s="16" t="str">
        <x:v>UX-060</x:v>
      </x:c>
      <x:c r="B70" s="17" t="str">
        <x:v>Settings</x:v>
      </x:c>
      <x:c r="C70" s="17" t="str">
        <x:v>Live provider setup</x:v>
      </x:c>
      <x:c r="D70" s="17" t="str">
        <x:v>Partial</x:v>
      </x:c>
      <x:c r="E70" s="17" t="str">
        <x:v>Removed cosmetic provider-switch controls. Settings shows actual fixed runtime and user-triggered configuration snapshot. Provider switching/setup remains pending.</x:v>
      </x:c>
      <x:c r="F70" s="17" t="str">
        <x:v>Unverified</x:v>
      </x:c>
      <x:c r="G70" s="17" t="str">
        <x:v>Observed: current model label [C0]</x:v>
      </x:c>
      <x:c r="H70" s="17" t="str">
        <x:v>Documented: model selector [D1]</x:v>
      </x:c>
      <x:c r="I70" s="17" t="str">
        <x:v>Add explicit connected/tested/unavailable states for each supported provider.</x:v>
      </x:c>
      <x:c r="J70" s="17" t="str">
        <x:v>P1</x:v>
      </x:c>
      <x:c r="K70" s="17" t="str">
        <x:v>3 Trusted work</x:v>
      </x:c>
      <x:c r="L70" s="17" t="str">
        <x:v>Provider adapters and secure credential flow</x:v>
      </x:c>
      <x:c r="M70" s="17" t="str">
        <x:v>Changing provider cannot silently leave a different runtime active. No secrets in UI output.</x:v>
      </x:c>
      <x:c r="N70" s="10" t="str">
        <x:v>Implemented</x:v>
      </x:c>
      <x:c r="O70" s="10" t="str">
        <x:v>Proposed</x:v>
      </x:c>
      <x:c r="P70" s="17" t="str">
        <x:v>2026-09-16: diagnostics-ui.json. Implemented slice verified; full feature remains pending.</x:v>
      </x:c>
      <x:c r="Q70" s="17" t="str">
        <x:v>Partial</x:v>
      </x:c>
      <x:c r="R70" s="17" t="str">
        <x:v>No fresh acceptance run in this milestone; inherited dated effective evidence.</x:v>
      </x:c>
      <x:c r="S70" s="17" t="str">
        <x:v>Local configured status is not proof of provider reachability; no credentials or provider requests were used. Windows behavior, owner UI approval and live provider/device acceptance are not established by this milestone.</x:v>
      </x:c>
      <x:c r="T70" s="1"/>
    </x:row>
    <x:row r="71" ht="72" customHeight="1">
      <x:c r="A71" s="18" t="str">
        <x:v>UX-061</x:v>
      </x:c>
      <x:c r="B71" s="19" t="str">
        <x:v>Settings</x:v>
      </x:c>
      <x:c r="C71" s="19" t="str">
        <x:v>Connections health</x:v>
      </x:c>
      <x:c r="D71" s="19" t="str">
        <x:v>Partial</x:v>
      </x:c>
      <x:c r="E71" s="19" t="str">
        <x:v>Local configuration/status snapshots refresh with an explicit check time. Reachability and live provider/device health remain unverified.</x:v>
      </x:c>
      <x:c r="F71" s="19" t="str">
        <x:v>Observed: Plugins navigation [G1]</x:v>
      </x:c>
      <x:c r="G71" s="19" t="str">
        <x:v>Observed: Plugins navigation [C0]</x:v>
      </x:c>
      <x:c r="H71" s="19" t="str">
        <x:v>Documented: connectors/plugins [D1]</x:v>
      </x:c>
      <x:c r="I71" s="19" t="str">
        <x:v>Show actual connection, last checked time, supported actions and recovery.</x:v>
      </x:c>
      <x:c r="J71" s="19" t="str">
        <x:v>P1</x:v>
      </x:c>
      <x:c r="K71" s="19" t="str">
        <x:v>3 Trusted work</x:v>
      </x:c>
      <x:c r="L71" s="19" t="str">
        <x:v>Adapter health checks</x:v>
      </x:c>
      <x:c r="M71" s="19" t="str">
        <x:v>Disconnected adapter cannot look ready; refresh updates from real state.</x:v>
      </x:c>
      <x:c r="N71" s="10" t="str">
        <x:v>Implemented</x:v>
      </x:c>
      <x:c r="O71" s="10" t="str">
        <x:v>Proposed</x:v>
      </x:c>
      <x:c r="P71" s="19" t="str">
        <x:v>2026-09-16: diagnostics-ui.json. Implemented slice verified; full feature remains pending.</x:v>
      </x:c>
      <x:c r="Q71" s="19" t="str">
        <x:v>Partial</x:v>
      </x:c>
      <x:c r="R71" s="19" t="str">
        <x:v>No fresh acceptance run in this milestone; inherited dated effective evidence.</x:v>
      </x:c>
      <x:c r="S71" s="19" t="str">
        <x:v>No remote adapter health check or inventory load was performed. Windows behavior, owner UI approval and live provider/device acceptance are not established by this milestone.</x:v>
      </x:c>
      <x:c r="T71" s="1"/>
    </x:row>
    <x:row r="72" ht="102" customHeight="1">
      <x:c r="A72" s="16" t="str">
        <x:v>UX-062</x:v>
      </x:c>
      <x:c r="B72" s="17" t="str">
        <x:v>Settings</x:v>
      </x:c>
      <x:c r="C72" s="17" t="str">
        <x:v>Privacy and data controls</x:v>
      </x:c>
      <x:c r="D72" s="17" t="str">
        <x:v>Present</x:v>
      </x:c>
      <x:c r="E72" s="17" t="str">
        <x:v>Privacy settings identifies browser conversation history, local server run records, transmitted chat/evidence, sent attachments, and local-only notes/file editor. Export and replacement scope and recovery are explicit.</x:v>
      </x:c>
      <x:c r="F72" s="17" t="str">
        <x:v>Unverified</x:v>
      </x:c>
      <x:c r="G72" s="17" t="str">
        <x:v>Unverified</x:v>
      </x:c>
      <x:c r="H72" s="17" t="str">
        <x:v>Unverified</x:v>
      </x:c>
      <x:c r="I72" s="17" t="str">
        <x:v>Explain local versus transmitted data and make export/reset scope explicit.</x:v>
      </x:c>
      <x:c r="J72" s="17" t="str">
        <x:v>P1</x:v>
      </x:c>
      <x:c r="K72" s="17" t="str">
        <x:v>3 Trusted work</x:v>
      </x:c>
      <x:c r="L72" s="17" t="str">
        <x:v>Storage and provider contracts</x:v>
      </x:c>
      <x:c r="M72" s="17" t="str">
        <x:v>User can identify what stays local and what a request sends; destructive actions are recoverable where promised.</x:v>
      </x:c>
      <x:c r="N72" s="10" t="str">
        <x:v>Verified</x:v>
      </x:c>
      <x:c r="O72" s="10" t="str">
        <x:v>Proposed</x:v>
      </x:c>
      <x:c r="P72" s="17" t="str">
        <x:v>2026-09-16: verify-local-data-ui.cjs; verify-backup-schema.cjs 10 tests; attachments.json. Local isolated checks passed; owner acceptance separate.</x:v>
      </x:c>
      <x:c r="Q72" s="17" t="str">
        <x:v>Partial</x:v>
      </x:c>
      <x:c r="R72" s="17" t="str">
        <x:v>No fresh acceptance run in this milestone; inherited dated effective evidence.</x:v>
      </x:c>
      <x:c r="S72" s="17" t="str">
        <x:v>The privacy wording passes, while destructive reset/recovery behavior is not exercised. Windows behavior, owner UI approval and live provider/device acceptance are not established by this milestone.</x:v>
      </x:c>
      <x:c r="T72" s="1"/>
    </x:row>
    <x:row r="73" ht="42" customHeight="1">
      <x:c r="A73" s="18" t="str">
        <x:v>UX-063</x:v>
      </x:c>
      <x:c r="B73" s="19" t="str">
        <x:v>Settings</x:v>
      </x:c>
      <x:c r="C73" s="19" t="str">
        <x:v>Real account and sign-out</x:v>
      </x:c>
      <x:c r="D73" s="19" t="str">
        <x:v>Placeholder</x:v>
      </x:c>
      <x:c r="E73" s="19" t="str">
        <x:v>Account menu exists but Settings states no account connected.</x:v>
      </x:c>
      <x:c r="F73" s="19" t="str">
        <x:v>Observed: account row [G1]</x:v>
      </x:c>
      <x:c r="G73" s="19" t="str">
        <x:v>Observed: account row [C0]</x:v>
      </x:c>
      <x:c r="H73" s="19" t="str">
        <x:v>Unverified</x:v>
      </x:c>
      <x:c r="I73" s="19" t="str">
        <x:v>Hide unsupported account switching or clearly identify local profile.</x:v>
      </x:c>
      <x:c r="J73" s="19" t="str">
        <x:v>P1</x:v>
      </x:c>
      <x:c r="K73" s="19" t="str">
        <x:v>2 Chat</x:v>
      </x:c>
      <x:c r="L73" s="19" t="str">
        <x:v>2026-09-16 user decision: keep cross-device history, accounts/customer isolation and remote handoff pending; finish local features first.</x:v>
      </x:c>
      <x:c r="M73" s="19" t="str">
        <x:v>No control suggests remote sign-in or sign-out succeeded when it only changes local display.</x:v>
      </x:c>
      <x:c r="N73" s="10" t="str">
        <x:v>Deferred</x:v>
      </x:c>
      <x:c r="O73" s="10" t="str">
        <x:v>Proposed</x:v>
      </x:c>
      <x:c r="P73" s="19" t="str">
        <x:v>A0; polished.html account-menu; polished.js:480-482</x:v>
      </x:c>
      <x:c r="Q73" s="19" t="str">
        <x:v>Deferred</x:v>
      </x:c>
      <x:c r="R73" s="19" t="str">
        <x:v>No fresh acceptance run in this milestone; inherited dated effective evidence.</x:v>
      </x:c>
      <x:c r="S73" s="19" t="str">
        <x:v>No remote identity is connected. Windows behavior, owner UI approval and live provider/device acceptance are not established by this milestone.</x:v>
      </x:c>
      <x:c r="T73" s="1"/>
    </x:row>
    <x:row r="74" ht="87" customHeight="1">
      <x:c r="A74" s="16" t="str">
        <x:v>UX-064</x:v>
      </x:c>
      <x:c r="B74" s="17" t="str">
        <x:v>Settings</x:v>
      </x:c>
      <x:c r="C74" s="17" t="str">
        <x:v>Help and feedback</x:v>
      </x:c>
      <x:c r="D74" s="17" t="str">
        <x:v>Present</x:v>
      </x:c>
      <x:c r="E74" s="17" t="str">
        <x:v>Help opens keyboard/local workspace guidance. Feedback saves locally and can be downloaded manually; no private logs or network submission are attached.</x:v>
      </x:c>
      <x:c r="F74" s="17" t="str">
        <x:v>Unverified</x:v>
      </x:c>
      <x:c r="G74" s="17" t="str">
        <x:v>Unverified</x:v>
      </x:c>
      <x:c r="H74" s="17" t="str">
        <x:v>Unverified</x:v>
      </x:c>
      <x:c r="I74" s="17" t="str">
        <x:v>Provide accurate supported features, shortcuts and local diagnostics export.</x:v>
      </x:c>
      <x:c r="J74" s="17" t="str">
        <x:v>P2</x:v>
      </x:c>
      <x:c r="K74" s="17" t="str">
        <x:v>2 Chat</x:v>
      </x:c>
      <x:c r="L74" s="17" t="str">
        <x:v>Support destination decision</x:v>
      </x:c>
      <x:c r="M74" s="17" t="str">
        <x:v>Every help entry opens useful information; feedback never silently sends private logs.</x:v>
      </x:c>
      <x:c r="N74" s="10" t="str">
        <x:v>Verified</x:v>
      </x:c>
      <x:c r="O74" s="10" t="str">
        <x:v>Proposed</x:v>
      </x:c>
      <x:c r="P74" s="17" t="str">
        <x:v>2026-09-16: diagnostics-ui.json. Isolated tests passed; no live provider/device call. Owner acceptance pending.</x:v>
      </x:c>
      <x:c r="Q74" s="17" t="str">
        <x:v>Partial</x:v>
      </x:c>
      <x:c r="R74" s="17" t="str">
        <x:v>No fresh acceptance run in this milestone; inherited dated effective evidence.</x:v>
      </x:c>
      <x:c r="S74" s="17" t="str">
        <x:v>Only one help entry and a successful local feedback save are checked; every-help coverage and feedback storage failure are absent. Windows behavior, owner UI approval and live provider/device acceptance are not established by this milestone.</x:v>
      </x:c>
      <x:c r="T74" s="1"/>
    </x:row>
    <x:row r="75" ht="72" customHeight="1">
      <x:c r="A75" s="18" t="str">
        <x:v>UX-065</x:v>
      </x:c>
      <x:c r="B75" s="19" t="str">
        <x:v>Settings</x:v>
      </x:c>
      <x:c r="C75" s="19" t="str">
        <x:v>Shortcut reference</x:v>
      </x:c>
      <x:c r="D75" s="19" t="str">
        <x:v>Present</x:v>
      </x:c>
      <x:c r="E75" s="19" t="str">
        <x:v>Shortcut reference generated from the active command registry; Ctrl/Cmd+K and Ctrl/Cmd+F verified.</x:v>
      </x:c>
      <x:c r="F75" s="19" t="str">
        <x:v>Unverified</x:v>
      </x:c>
      <x:c r="G75" s="19" t="str">
        <x:v>Documented: shortcut reference and customization [C4]</x:v>
      </x:c>
      <x:c r="H75" s="19" t="str">
        <x:v>Documented: Ctrl+/ shortcut list [D1]</x:v>
      </x:c>
      <x:c r="I75" s="19" t="str">
        <x:v>Add short searchable shortcut reference; avoid conflicting bindings.</x:v>
      </x:c>
      <x:c r="J75" s="19" t="str">
        <x:v>P2</x:v>
      </x:c>
      <x:c r="K75" s="19" t="str">
        <x:v>2 Chat</x:v>
      </x:c>
      <x:c r="L75" s="19" t="str">
        <x:v>Action registry</x:v>
      </x:c>
      <x:c r="M75" s="19" t="str">
        <x:v>Displayed shortcuts work and unavailable actions are not advertised.</x:v>
      </x:c>
      <x:c r="N75" s="10" t="str">
        <x:v>Verified</x:v>
      </x:c>
      <x:c r="O75" s="10" t="str">
        <x:v>Proposed</x:v>
      </x:c>
      <x:c r="P75" s="19" t="str">
        <x:v>2026-09-15: .intentgraph/evidence/ux-fixes-2026-09-15/local-commands.json; browser test exit 0. Mocked requests; owner acceptance pending.</x:v>
      </x:c>
      <x:c r="Q75" s="19" t="str">
        <x:v>Partial</x:v>
      </x:c>
      <x:c r="R75" s="19" t="str">
        <x:v>No fresh acceptance run in this milestone; inherited dated effective evidence.</x:v>
      </x:c>
      <x:c r="S75" s="19" t="str">
        <x:v>Ctrl+K and displayed shortcut text pass, but Cmd/Ctrl+F behavior and unavailable-action filtering are not asserted. Windows behavior, owner UI approval and live provider/device acceptance are not established by this milestone.</x:v>
      </x:c>
      <x:c r="T75" s="1"/>
    </x:row>
    <x:row r="76" ht="87" customHeight="1">
      <x:c r="A76" s="20" t="str">
        <x:v>UX-066</x:v>
      </x:c>
      <x:c r="B76" s="21" t="str">
        <x:v>Outputs</x:v>
      </x:c>
      <x:c r="C76" s="21" t="str">
        <x:v>Artifact library for real chats</x:v>
      </x:c>
      <x:c r="D76" s="21" t="str">
        <x:v>Partial</x:v>
      </x:c>
      <x:c r="E76" s="21" t="str">
        <x:v>Artifacts now list actual saved raw evidence outputs for the selected chat, with exact downloads and provenance. General generated-file registry remains pending.</x:v>
      </x:c>
      <x:c r="F76" s="21" t="str">
        <x:v>Unverified</x:v>
      </x:c>
      <x:c r="G76" s="21" t="str">
        <x:v>Documented: work with files and artifacts [C1]</x:v>
      </x:c>
      <x:c r="H76" s="21" t="str">
        <x:v>Documented: HTML/PDF previews [D1]</x:v>
      </x:c>
      <x:c r="I76" s="21" t="str">
        <x:v>Connect saved output files to the run that created them.</x:v>
      </x:c>
      <x:c r="J76" s="21" t="str">
        <x:v>P1</x:v>
      </x:c>
      <x:c r="K76" s="21" t="str">
        <x:v>3 Trusted work</x:v>
      </x:c>
      <x:c r="L76" s="21" t="str">
        <x:v>Artifact storage and provenance</x:v>
      </x:c>
      <x:c r="M76" s="21" t="str">
        <x:v>Real chat artifact opens correct file; another chat never inherits sample output.</x:v>
      </x:c>
      <x:c r="N76" s="13" t="str">
        <x:v>Implemented</x:v>
      </x:c>
      <x:c r="O76" s="13" t="str">
        <x:v>Proposed</x:v>
      </x:c>
      <x:c r="P76" s="21" t="str">
        <x:v>2026-09-16: workspace-shell.json. Implemented slice verified; full feature remains pending.</x:v>
      </x:c>
      <x:c r="Q76" s="21" t="str">
        <x:v>Partial</x:v>
      </x:c>
      <x:c r="R76" s="21" t="str">
        <x:v>No fresh acceptance run in this milestone; inherited dated effective evidence.</x:v>
      </x:c>
      <x:c r="S76" s="21" t="str">
        <x:v>Deduplication fix verified for unambiguous mirrored results; broader artifact-file capability remains partial. Windows behavior, owner UI approval and live provider/device acceptance are not established by this milestone.</x:v>
      </x:c>
      <x:c r="T76" s="1"/>
    </x:row>
    <x:row r="77" ht="72" customHeight="1">
      <x:c r="A77" s="18" t="str">
        <x:v>UX-067</x:v>
      </x:c>
      <x:c r="B77" s="19" t="str">
        <x:v>Outputs</x:v>
      </x:c>
      <x:c r="C77" s="19" t="str">
        <x:v>Browser preview</x:v>
      </x:c>
      <x:c r="D77" s="19" t="str">
        <x:v>Partial</x:v>
      </x:c>
      <x:c r="E77" s="19" t="str">
        <x:v>Removed simulated sample runs. Browser pane states no connected session and offers no fake actions. Live browser preview remains pending.</x:v>
      </x:c>
      <x:c r="F77" s="19" t="str">
        <x:v>Unverified</x:v>
      </x:c>
      <x:c r="G77" s="19" t="str">
        <x:v>Observed: working embedded browser [C0]</x:v>
      </x:c>
      <x:c r="H77" s="19" t="str">
        <x:v>Documented: Browser pane [D1]</x:v>
      </x:c>
      <x:c r="I77" s="19" t="str">
        <x:v>Use a real bounded preview with URL, loading, errors and navigation controls.</x:v>
      </x:c>
      <x:c r="J77" s="19" t="str">
        <x:v>P2</x:v>
      </x:c>
      <x:c r="K77" s="19" t="str">
        <x:v>4 Extend</x:v>
      </x:c>
      <x:c r="L77" s="19" t="str">
        <x:v>Connect existing browser adapter to Aven UI</x:v>
      </x:c>
      <x:c r="M77" s="19" t="str">
        <x:v>Preview shows actual current content and truthful unavailable states.</x:v>
      </x:c>
      <x:c r="N77" s="10" t="str">
        <x:v>Implemented</x:v>
      </x:c>
      <x:c r="O77" s="10" t="str">
        <x:v>Proposed</x:v>
      </x:c>
      <x:c r="P77" s="19" t="str">
        <x:v>2026-09-16: pane-controls.json. Remaining scope is explicit; not marked complete.</x:v>
      </x:c>
      <x:c r="Q77" s="19" t="str">
        <x:v>Partial</x:v>
      </x:c>
      <x:c r="R77" s="19" t="str">
        <x:v>No fresh acceptance run in this milestone; inherited dated effective evidence.</x:v>
      </x:c>
      <x:c r="S77" s="19" t="str">
        <x:v>Unavailable state passed; live browsing capability remains absent. Windows behavior, owner UI approval and live provider/device acceptance are not established by this milestone.</x:v>
      </x:c>
      <x:c r="T77" s="1"/>
    </x:row>
    <x:row r="78" ht="87" customHeight="1">
      <x:c r="A78" s="16" t="str">
        <x:v>UX-068</x:v>
      </x:c>
      <x:c r="B78" s="17" t="str">
        <x:v>Outputs</x:v>
      </x:c>
      <x:c r="C78" s="17" t="str">
        <x:v>Computer preview and control</x:v>
      </x:c>
      <x:c r="D78" s="17" t="str">
        <x:v>Partial</x:v>
      </x:c>
      <x:c r="E78" s="17" t="str">
        <x:v>Removed simulated sample runs. Computer pane states no connected session and offers no fake actions. Live screen/control integration remains pending.</x:v>
      </x:c>
      <x:c r="F78" s="17" t="str">
        <x:v>Observed: bot screen entry; execution untested [G1]</x:v>
      </x:c>
      <x:c r="G78" s="17" t="str">
        <x:v>Documented: computer use [C1]</x:v>
      </x:c>
      <x:c r="H78" s="17" t="str">
        <x:v>Documented: computer use [D1]</x:v>
      </x:c>
      <x:c r="I78" s="17" t="str">
        <x:v>Do not imply a live desktop until session and permissions are real.</x:v>
      </x:c>
      <x:c r="J78" s="17" t="str">
        <x:v>P3</x:v>
      </x:c>
      <x:c r="K78" s="17" t="str">
        <x:v>4 Extend</x:v>
      </x:c>
      <x:c r="L78" s="17" t="str">
        <x:v>Integrate existing desktop adapter and approval UX</x:v>
      </x:c>
      <x:c r="M78" s="17" t="str">
        <x:v>Stale or unavailable screen is labeled; controls apply only to authorized session.</x:v>
      </x:c>
      <x:c r="N78" s="10" t="str">
        <x:v>Implemented</x:v>
      </x:c>
      <x:c r="O78" s="10" t="str">
        <x:v>Proposed</x:v>
      </x:c>
      <x:c r="P78" s="17" t="str">
        <x:v>2026-09-16: pane-controls.json. Remaining scope is explicit; not marked complete.</x:v>
      </x:c>
      <x:c r="Q78" s="17" t="str">
        <x:v>Partial</x:v>
      </x:c>
      <x:c r="R78" s="17" t="str">
        <x:v>No fresh acceptance run in this milestone; inherited dated effective evidence.</x:v>
      </x:c>
      <x:c r="S78" s="17" t="str">
        <x:v>Unavailable state passed; live computer control remains absent. Windows behavior, owner UI approval and live provider/device acceptance are not established by this milestone.</x:v>
      </x:c>
      <x:c r="T78" s="1"/>
    </x:row>
    <x:row r="79" ht="87" customHeight="1">
      <x:c r="A79" s="18" t="str">
        <x:v>UX-069</x:v>
      </x:c>
      <x:c r="B79" s="19" t="str">
        <x:v>Outputs</x:v>
      </x:c>
      <x:c r="C79" s="19" t="str">
        <x:v>Resizable work panes</x:v>
      </x:c>
      <x:c r="D79" s="19" t="str">
        <x:v>Present</x:v>
      </x:c>
      <x:c r="E79" s="19" t="str">
        <x:v>Desktop pane resizes with pointer or keyboard and persists width; clamps to preserve 320px chat. Small screens retain modal pane. Close restores opener.</x:v>
      </x:c>
      <x:c r="F79" s="19" t="str">
        <x:v>Observed: profile/screen pane [G1]</x:v>
      </x:c>
      <x:c r="G79" s="19" t="str">
        <x:v>Observed: side-by-side chat and browser [C0]</x:v>
      </x:c>
      <x:c r="H79" s="19" t="str">
        <x:v>Documented: drag-drop panes [D1]</x:v>
      </x:c>
      <x:c r="I79" s="19" t="str">
        <x:v>Support focused chat plus one useful evidence/output pane first.</x:v>
      </x:c>
      <x:c r="J79" s="19" t="str">
        <x:v>P2</x:v>
      </x:c>
      <x:c r="K79" s="19" t="str">
        <x:v>3 Trusted work</x:v>
      </x:c>
      <x:c r="L79" s="19" t="str">
        <x:v>Responsive pane model</x:v>
      </x:c>
      <x:c r="M79" s="19" t="str">
        <x:v>Opening evidence preserves enough room to read and type; close returns focus.</x:v>
      </x:c>
      <x:c r="N79" s="10" t="str">
        <x:v>Verified</x:v>
      </x:c>
      <x:c r="O79" s="10" t="str">
        <x:v>Proposed</x:v>
      </x:c>
      <x:c r="P79" s="19" t="str">
        <x:v>2026-09-16: pane-controls.json. Local isolated checks passed; owner acceptance separate.</x:v>
      </x:c>
      <x:c r="Q79" s="19" t="str">
        <x:v>Partial</x:v>
      </x:c>
      <x:c r="R79" s="19" t="str">
        <x:v>No fresh acceptance run in this milestone; inherited dated effective evidence.</x:v>
      </x:c>
      <x:c r="S79" s="19" t="str">
        <x:v>One keyboard resize and focus return pass, but evidence-specific read/type room and a broader resize matrix are not asserted. Windows behavior, owner UI approval and live provider/device acceptance are not established by this milestone.</x:v>
      </x:c>
      <x:c r="T79" s="1"/>
    </x:row>
    <x:row r="80" ht="102" customHeight="1">
      <x:c r="A80" s="16" t="str">
        <x:v>UX-070</x:v>
      </x:c>
      <x:c r="B80" s="17" t="str">
        <x:v>Outputs</x:v>
      </x:c>
      <x:c r="C80" s="17" t="str">
        <x:v>File tree and editor</x:v>
      </x:c>
      <x:c r="D80" s="17" t="str">
        <x:v>Present</x:v>
      </x:c>
      <x:c r="E80" s="17" t="str">
        <x:v>Session-scoped user-selected folder lists bounded text files. Exact before/after review, explicit write permission, conflict detection, stale-review rejection, verified save and draft protection are implemented.</x:v>
      </x:c>
      <x:c r="F80" s="17" t="str">
        <x:v>Unverified</x:v>
      </x:c>
      <x:c r="G80" s="17" t="str">
        <x:v>Documented: file tree and search [C4]</x:v>
      </x:c>
      <x:c r="H80" s="17" t="str">
        <x:v>Documented: integrated file editor [D1]</x:v>
      </x:c>
      <x:c r="I80" s="17" t="str">
        <x:v>Defer IDE parity; prioritize network documents and config review.</x:v>
      </x:c>
      <x:c r="J80" s="17" t="str">
        <x:v>P3</x:v>
      </x:c>
      <x:c r="K80" s="17" t="str">
        <x:v>4 Extend</x:v>
      </x:c>
      <x:c r="L80" s="17" t="str">
        <x:v>Filesystem adapter and product scope</x:v>
      </x:c>
      <x:c r="M80" s="17" t="str">
        <x:v>Only authorized files are shown and edits have explicit save/diff behavior.</x:v>
      </x:c>
      <x:c r="N80" s="10" t="str">
        <x:v>Verified</x:v>
      </x:c>
      <x:c r="O80" s="10" t="str">
        <x:v>Proposed</x:v>
      </x:c>
      <x:c r="P80" s="17" t="str">
        <x:v>2026-09-16: verify-local-files.cjs 34 checks; files-shell.json 26 checks with real Web Crypto and memory-only file handles. No user disk writes. Real OS picker and owner acceptance remain unverified.</x:v>
      </x:c>
      <x:c r="Q80" s="17" t="str">
        <x:v>Partial</x:v>
      </x:c>
      <x:c r="R80" s="17" t="str">
        <x:v>No fresh acceptance run in this milestone; inherited dated effective evidence.</x:v>
      </x:c>
      <x:c r="S80" s="17" t="str">
        <x:v>No user disk writes were performed. Windows behavior, owner UI approval and live provider/device acceptance are not established by this milestone.</x:v>
      </x:c>
      <x:c r="T80" s="1"/>
    </x:row>
    <x:row r="81" ht="42" customHeight="1">
      <x:c r="A81" s="18" t="str">
        <x:v>UX-071</x:v>
      </x:c>
      <x:c r="B81" s="19" t="str">
        <x:v>Outputs</x:v>
      </x:c>
      <x:c r="C81" s="19" t="str">
        <x:v>Interactive terminal</x:v>
      </x:c>
      <x:c r="D81" s="19" t="str">
        <x:v>Missing</x:v>
      </x:c>
      <x:c r="E81" s="19" t="str">
        <x:v>Raw diagnostic output exists, not a general interactive shell.</x:v>
      </x:c>
      <x:c r="F81" s="19" t="str">
        <x:v>Unverified</x:v>
      </x:c>
      <x:c r="G81" s="19" t="str">
        <x:v>Documented: integrated terminal [C6]</x:v>
      </x:c>
      <x:c r="H81" s="19" t="str">
        <x:v>Documented: terminal pane [D1]</x:v>
      </x:c>
      <x:c r="I81" s="19" t="str">
        <x:v>Keep read-only evidence primary; add terminal only for defined authorized workflows.</x:v>
      </x:c>
      <x:c r="J81" s="19" t="str">
        <x:v>P3</x:v>
      </x:c>
      <x:c r="K81" s="19" t="str">
        <x:v>4 Extend</x:v>
      </x:c>
      <x:c r="L81" s="19" t="str">
        <x:v>Execution boundaries</x:v>
      </x:c>
      <x:c r="M81" s="19" t="str">
        <x:v>User sees target/session and permissions; raw evidence remains separately retained.</x:v>
      </x:c>
      <x:c r="N81" s="10" t="str">
        <x:v>Not started</x:v>
      </x:c>
      <x:c r="O81" s="10" t="str">
        <x:v>Proposed</x:v>
      </x:c>
      <x:c r="P81" s="19" t="str">
        <x:v>architecture.json; polished.js; polished.js:319-370</x:v>
      </x:c>
      <x:c r="Q81" s="19" t="str">
        <x:v>Missing</x:v>
      </x:c>
      <x:c r="R81" s="19" t="str">
        <x:v>No fresh acceptance run in this milestone; inherited dated effective evidence.</x:v>
      </x:c>
      <x:c r="S81" s="19" t="str">
        <x:v>Intentional scope gap. Windows behavior, owner UI approval and live provider/device acceptance are not established by this milestone.</x:v>
      </x:c>
      <x:c r="T81" s="1"/>
    </x:row>
    <x:row r="82" ht="102" customHeight="1">
      <x:c r="A82" s="20" t="str">
        <x:v>UX-072</x:v>
      </x:c>
      <x:c r="B82" s="21" t="str">
        <x:v>Review</x:v>
      </x:c>
      <x:c r="C82" s="21" t="str">
        <x:v>Before/after change review</x:v>
      </x:c>
      <x:c r="D82" s="21" t="str">
        <x:v>Partial</x:v>
      </x:c>
      <x:c r="E82" s="21" t="str">
        <x:v>Local file review binds exact path, original hash/mtime/size and draft hash. Edits invalidate review and external changes prevent overwrite. Network-device impact/rollback and execution approval are still pending.</x:v>
      </x:c>
      <x:c r="F82" s="21" t="str">
        <x:v>Unverified</x:v>
      </x:c>
      <x:c r="G82" s="21" t="str">
        <x:v>Documented: diff review and scope selection [C3]</x:v>
      </x:c>
      <x:c r="H82" s="21" t="str">
        <x:v>Documented: visual diffs [D1]</x:v>
      </x:c>
      <x:c r="I82" s="21" t="str">
        <x:v>Adapt review to network configuration: exact target, diff, impact and approval.</x:v>
      </x:c>
      <x:c r="J82" s="21" t="str">
        <x:v>P1</x:v>
      </x:c>
      <x:c r="K82" s="21" t="str">
        <x:v>3 Trusted work</x:v>
      </x:c>
      <x:c r="L82" s="21" t="str">
        <x:v>Change proposal/approval backend</x:v>
      </x:c>
      <x:c r="M82" s="21" t="str">
        <x:v>Proposal shows exact diff and target; edits invalidate prior approval.</x:v>
      </x:c>
      <x:c r="N82" s="13" t="str">
        <x:v>Implemented</x:v>
      </x:c>
      <x:c r="O82" s="13" t="str">
        <x:v>Proposed</x:v>
      </x:c>
      <x:c r="P82" s="21" t="str">
        <x:v>2026-09-16: files-shell.json passed. Verified local file slice only; network configuration review is not claimed.</x:v>
      </x:c>
      <x:c r="Q82" s="21" t="str">
        <x:v>Partial</x:v>
      </x:c>
      <x:c r="R82" s="21" t="str">
        <x:v>No fresh acceptance run in this milestone; inherited dated effective evidence.</x:v>
      </x:c>
      <x:c r="S82" s="21" t="str">
        <x:v>No network configuration calls were made. Windows behavior, owner UI approval and live provider/device acceptance are not established by this milestone.</x:v>
      </x:c>
      <x:c r="T82" s="1"/>
    </x:row>
    <x:row r="83" ht="87" customHeight="1">
      <x:c r="A83" s="18" t="str">
        <x:v>UX-073</x:v>
      </x:c>
      <x:c r="B83" s="19" t="str">
        <x:v>Review</x:v>
      </x:c>
      <x:c r="C83" s="19" t="str">
        <x:v>Inline evidence annotations</x:v>
      </x:c>
      <x:c r="D83" s="19" t="str">
        <x:v>Present</x:v>
      </x:c>
      <x:c r="E83" s="19" t="str">
        <x:v>Append-only local annotations bind message, run, evidence identity and exact SHA-256. Stale evidence or pane discard prevents save; failed saves keep the draft.</x:v>
      </x:c>
      <x:c r="F83" s="19" t="str">
        <x:v>Unverified</x:v>
      </x:c>
      <x:c r="G83" s="19" t="str">
        <x:v>Documented: inline comments [C3]</x:v>
      </x:c>
      <x:c r="H83" s="19" t="str">
        <x:v>Documented: inline diff comments [D1]</x:v>
      </x:c>
      <x:c r="I83" s="19" t="str">
        <x:v>Attach comments to immutable evidence line and run IDs.</x:v>
      </x:c>
      <x:c r="J83" s="19" t="str">
        <x:v>P2</x:v>
      </x:c>
      <x:c r="K83" s="19" t="str">
        <x:v>3 Trusted work</x:v>
      </x:c>
      <x:c r="L83" s="19" t="str">
        <x:v>Evidence identity</x:v>
      </x:c>
      <x:c r="M83" s="19" t="str">
        <x:v>Comment cannot drift to a different result after rerun.</x:v>
      </x:c>
      <x:c r="N83" s="10" t="str">
        <x:v>Verified</x:v>
      </x:c>
      <x:c r="O83" s="10" t="str">
        <x:v>Proposed</x:v>
      </x:c>
      <x:c r="P83" s="19" t="str">
        <x:v>2026-09-16: evidence-shell/evidence-shell-results.json 11 checks. Local isolated checks passed; owner acceptance separate.</x:v>
      </x:c>
      <x:c r="Q83" s="19" t="str">
        <x:v>Partial</x:v>
      </x:c>
      <x:c r="R83" s="19" t="str">
        <x:v>No fresh acceptance run in this milestone; inherited dated effective evidence.</x:v>
      </x:c>
      <x:c r="S83" s="19" t="str">
        <x:v>A successful annotation is saved, but stale-result rejection, discard and save-failure paths are not exercised. Windows behavior, owner UI approval and live provider/device acceptance are not established by this milestone.</x:v>
      </x:c>
      <x:c r="T83" s="1"/>
    </x:row>
    <x:row r="84" ht="48" customHeight="1">
      <x:c r="A84" s="16" t="str">
        <x:v>UX-074</x:v>
      </x:c>
      <x:c r="B84" s="17" t="str">
        <x:v>Review</x:v>
      </x:c>
      <x:c r="C84" s="17" t="str">
        <x:v>Execution approval receipt</x:v>
      </x:c>
      <x:c r="D84" s="17" t="str">
        <x:v>Partial</x:v>
      </x:c>
      <x:c r="E84" s="17" t="str">
        <x:v>Separate adapters implement one-time digest-bound approval. Aven lacks integrated general approval UI.</x:v>
      </x:c>
      <x:c r="F84" s="17" t="str">
        <x:v>Unverified</x:v>
      </x:c>
      <x:c r="G84" s="17" t="str">
        <x:v>Documented: agent approvals [C6]</x:v>
      </x:c>
      <x:c r="H84" s="17" t="str">
        <x:v>Documented: permission modes [D1]</x:v>
      </x:c>
      <x:c r="I84" s="17" t="str">
        <x:v>Preserve read-only safety; require exact scope-bound approval for future changes.</x:v>
      </x:c>
      <x:c r="J84" s="17" t="str">
        <x:v>P1</x:v>
      </x:c>
      <x:c r="K84" s="17" t="str">
        <x:v>3 Trusted work</x:v>
      </x:c>
      <x:c r="L84" s="17" t="str">
        <x:v>Integrate existing receipt flow; define future network write scope</x:v>
      </x:c>
      <x:c r="M84" s="17" t="str">
        <x:v>Target or command changes require new review; old approval cannot authorize new work.</x:v>
      </x:c>
      <x:c r="N84" s="10" t="str">
        <x:v>Not started</x:v>
      </x:c>
      <x:c r="O84" s="10" t="str">
        <x:v>Proposed</x:v>
      </x:c>
      <x:c r="P84" s="17" t="str">
        <x:v>intentgraph/adapters/index.cjs:462-503,570-598; polished.js:359-370</x:v>
      </x:c>
      <x:c r="Q84" s="17" t="str">
        <x:v>Missing</x:v>
      </x:c>
      <x:c r="R84" s="17" t="str">
        <x:v>No fresh acceptance run in this milestone; inherited dated effective evidence.</x:v>
      </x:c>
      <x:c r="S84" s="17" t="str">
        <x:v>No execution or provider calls. Windows behavior, owner UI approval and live provider/device acceptance are not established by this milestone.</x:v>
      </x:c>
      <x:c r="T84" s="1"/>
    </x:row>
    <x:row r="85" ht="48" customHeight="1">
      <x:c r="A85" s="18" t="str">
        <x:v>UX-075</x:v>
      </x:c>
      <x:c r="B85" s="19" t="str">
        <x:v>Review</x:v>
      </x:c>
      <x:c r="C85" s="19" t="str">
        <x:v>Git stage, commit and PR controls</x:v>
      </x:c>
      <x:c r="D85" s="19" t="str">
        <x:v>Missing</x:v>
      </x:c>
      <x:c r="E85" s="19" t="str">
        <x:v>No Git workflow in Aven.</x:v>
      </x:c>
      <x:c r="F85" s="19" t="str">
        <x:v>Unverified</x:v>
      </x:c>
      <x:c r="G85" s="19" t="str">
        <x:v>Documented: stage, revert, commit, PR review [C3]</x:v>
      </x:c>
      <x:c r="H85" s="19" t="str">
        <x:v>Documented: PR monitoring [D1]</x:v>
      </x:c>
      <x:c r="I85" s="19" t="str">
        <x:v>Defer; only add if configuration-as-code becomes a primary workflow.</x:v>
      </x:c>
      <x:c r="J85" s="19" t="str">
        <x:v>P3</x:v>
      </x:c>
      <x:c r="K85" s="19" t="str">
        <x:v>4 Extend</x:v>
      </x:c>
      <x:c r="L85" s="19" t="str">
        <x:v>Repository integration and product scope</x:v>
      </x:c>
      <x:c r="M85" s="19" t="str">
        <x:v>Git operations have clear repository and diff scope; no hidden publish.</x:v>
      </x:c>
      <x:c r="N85" s="10" t="str">
        <x:v>Not started</x:v>
      </x:c>
      <x:c r="O85" s="10" t="str">
        <x:v>Proposed</x:v>
      </x:c>
      <x:c r="P85" s="19" t="str">
        <x:v>polished.html; polished.js; intentgraph/adapters/index.cjs:462-503,570-598; polished.js:359-370</x:v>
      </x:c>
      <x:c r="Q85" s="19" t="str">
        <x:v>Missing</x:v>
      </x:c>
      <x:c r="R85" s="19" t="str">
        <x:v>No fresh acceptance run in this milestone; inherited dated effective evidence.</x:v>
      </x:c>
      <x:c r="S85" s="19" t="str">
        <x:v>No Git operation was attempted. Windows behavior, owner UI approval and live provider/device acceptance are not established by this milestone.</x:v>
      </x:c>
      <x:c r="T85" s="1"/>
    </x:row>
    <x:row r="86" ht="42" customHeight="1">
      <x:c r="A86" s="20" t="str">
        <x:v>UX-076</x:v>
      </x:c>
      <x:c r="B86" s="21" t="str">
        <x:v>Network</x:v>
      </x:c>
      <x:c r="C86" s="21" t="str">
        <x:v>Device inventory selection</x:v>
      </x:c>
      <x:c r="D86" s="21" t="str">
        <x:v>Partial</x:v>
      </x:c>
      <x:c r="E86" s="21" t="str">
        <x:v>Backend inventory/diagnostics exist; composer lacks clear scope selection.</x:v>
      </x:c>
      <x:c r="F86" s="21" t="str">
        <x:v>Unverified</x:v>
      </x:c>
      <x:c r="G86" s="21" t="str">
        <x:v>Unverified</x:v>
      </x:c>
      <x:c r="H86" s="21" t="str">
        <x:v>Unverified</x:v>
      </x:c>
      <x:c r="I86" s="21" t="str">
        <x:v>Make selected devices and connection state visible before diagnostic work.</x:v>
      </x:c>
      <x:c r="J86" s="21" t="str">
        <x:v>P1</x:v>
      </x:c>
      <x:c r="K86" s="21" t="str">
        <x:v>3 Trusted work</x:v>
      </x:c>
      <x:c r="L86" s="21" t="str">
        <x:v>Inventory adapter</x:v>
      </x:c>
      <x:c r="M86" s="21" t="str">
        <x:v>User can see exact selected devices; aliases resolve consistently to evidence IDs.</x:v>
      </x:c>
      <x:c r="N86" s="13" t="str">
        <x:v>Not started</x:v>
      </x:c>
      <x:c r="O86" s="13" t="str">
        <x:v>Proposed</x:v>
      </x:c>
      <x:c r="P86" s="21" t="str">
        <x:v>polished.js:332-357; intentgraph/agent-runtime.cjs:271-338</x:v>
      </x:c>
      <x:c r="Q86" s="21" t="str">
        <x:v>Partial</x:v>
      </x:c>
      <x:c r="R86" s="21" t="str">
        <x:v>No fresh acceptance run in this milestone; inherited dated effective evidence.</x:v>
      </x:c>
      <x:c r="S86" s="21" t="str">
        <x:v>Inventory route was mocked and no device call was made. Windows behavior, owner UI approval and live provider/device acceptance are not established by this milestone.</x:v>
      </x:c>
      <x:c r="T86" s="1"/>
    </x:row>
    <x:row r="87" ht="72" customHeight="1">
      <x:c r="A87" s="18" t="str">
        <x:v>UX-077</x:v>
      </x:c>
      <x:c r="B87" s="19" t="str">
        <x:v>Network</x:v>
      </x:c>
      <x:c r="C87" s="19" t="str">
        <x:v>Read-only scope visibility</x:v>
      </x:c>
      <x:c r="D87" s="19" t="str">
        <x:v>Present</x:v>
      </x:c>
      <x:c r="E87" s="19" t="str">
        <x:v>Composer scope follows backend mode: Plan has no tools; Inspect uses allowlisted read-only diagnostics. Device health requires evidence.</x:v>
      </x:c>
      <x:c r="F87" s="19" t="str">
        <x:v>Unverified</x:v>
      </x:c>
      <x:c r="G87" s="19" t="str">
        <x:v>Documented: permission modes [C6]</x:v>
      </x:c>
      <x:c r="H87" s="19" t="str">
        <x:v>Documented: permission mode selector [D1]</x:v>
      </x:c>
      <x:c r="I87" s="19" t="str">
        <x:v>Show concise current access scope near relevant actions.</x:v>
      </x:c>
      <x:c r="J87" s="19" t="str">
        <x:v>P1</x:v>
      </x:c>
      <x:c r="K87" s="19" t="str">
        <x:v>3 Trusted work</x:v>
      </x:c>
      <x:c r="L87" s="19" t="str">
        <x:v>Runtime-enforced capability state</x:v>
      </x:c>
      <x:c r="M87" s="19" t="str">
        <x:v>Read-only label agrees with enforced tool set; no confusing change/run action is offered.</x:v>
      </x:c>
      <x:c r="N87" s="10" t="str">
        <x:v>Verified</x:v>
      </x:c>
      <x:c r="O87" s="10" t="str">
        <x:v>Proposed</x:v>
      </x:c>
      <x:c r="P87" s="19" t="str">
        <x:v>2026-09-16: pane-controls.json; verify-chat-modes.cjs. Local isolated checks passed; owner acceptance separate.</x:v>
      </x:c>
      <x:c r="Q87" s="19" t="str">
        <x:v>Verified (scoped)</x:v>
      </x:c>
      <x:c r="R87" s="19" t="str">
        <x:v>No fresh acceptance run in this milestone; inherited dated effective evidence.</x:v>
      </x:c>
      <x:c r="S87" s="19" t="str">
        <x:v>No live device call or enforcement backend was used. Windows behavior, owner UI approval and live provider/device acceptance are not established by this milestone.</x:v>
      </x:c>
      <x:c r="T87" s="1"/>
    </x:row>
    <x:row r="88" ht="132" customHeight="1">
      <x:c r="A88" s="16" t="str">
        <x:v>UX-078</x:v>
      </x:c>
      <x:c r="B88" s="17" t="str">
        <x:v>Network</x:v>
      </x:c>
      <x:c r="C88" s="17" t="str">
        <x:v>Evidence provenance and timestamps</x:v>
      </x:c>
      <x:c r="D88" s="17" t="str">
        <x:v>Present</x:v>
      </x:c>
      <x:c r="E88" s="17" t="str">
        <x:v>Raw diagnostics and investigation evidence are retained.</x:v>
      </x:c>
      <x:c r="F88" s="17" t="str">
        <x:v>Unverified</x:v>
      </x:c>
      <x:c r="G88" s="17" t="str">
        <x:v>Unverified</x:v>
      </x:c>
      <x:c r="H88" s="17" t="str">
        <x:v>Unverified</x:v>
      </x:c>
      <x:c r="I88" s="17" t="str">
        <x:v>Keep device, command, time and actual result together.</x:v>
      </x:c>
      <x:c r="J88" s="17" t="str">
        <x:v>P1</x:v>
      </x:c>
      <x:c r="K88" s="17" t="str">
        <x:v>Keep</x:v>
      </x:c>
      <x:c r="L88" s="17" t="str">
        <x:v>Evidence schema regression</x:v>
      </x:c>
      <x:c r="M88" s="17" t="str">
        <x:v>Copied/exported evidence traces to exact run and command; generated narrative is distinguishable.</x:v>
      </x:c>
      <x:c r="N88" s="10" t="str">
        <x:v>Verified</x:v>
      </x:c>
      <x:c r="O88" s="10" t="str">
        <x:v>Preserve</x:v>
      </x:c>
      <x:c r="P88" s="17" t="str">
        <x:v>2026-09-16: preservation audit PASS. .intentgraph/evidence/pending-88-20260916/preserved-audit.json (Markdown has run-42 and command/target); .intentgraph/evidence/ux-fixes-2026-09-15/local-data-ui.json (raw export) Owner acceptance remains separate.</x:v>
      </x:c>
      <x:c r="Q88" s="17" t="str">
        <x:v>Partial</x:v>
      </x:c>
      <x:c r="R88" s="17" t="str">
        <x:v>No fresh acceptance run in this milestone; inherited dated effective evidence.</x:v>
      </x:c>
      <x:c r="S88" s="17" t="str">
        <x:v>Exact copied/exported evidence provenance across all timestamps and commands was not asserted. Windows behavior, owner UI approval and live provider/device acceptance are not established by this milestone.</x:v>
      </x:c>
      <x:c r="T88" s="1"/>
    </x:row>
    <x:row r="89" ht="102" customHeight="1">
      <x:c r="A89" s="18" t="str">
        <x:v>UX-079</x:v>
      </x:c>
      <x:c r="B89" s="19" t="str">
        <x:v>Network</x:v>
      </x:c>
      <x:c r="C89" s="19" t="str">
        <x:v>Success versus healthy status</x:v>
      </x:c>
      <x:c r="D89" s="19" t="str">
        <x:v>Partial</x:v>
      </x:c>
      <x:c r="E89" s="19" t="str">
        <x:v>Current work explicitly avoids equating command success with network health.</x:v>
      </x:c>
      <x:c r="F89" s="19" t="str">
        <x:v>Unverified</x:v>
      </x:c>
      <x:c r="G89" s="19" t="str">
        <x:v>Unverified</x:v>
      </x:c>
      <x:c r="H89" s="19" t="str">
        <x:v>Unverified</x:v>
      </x:c>
      <x:c r="I89" s="19" t="str">
        <x:v>Use separate execution outcome and interpreted health assessment.</x:v>
      </x:c>
      <x:c r="J89" s="19" t="str">
        <x:v>P1</x:v>
      </x:c>
      <x:c r="K89" s="19" t="str">
        <x:v>Keep</x:v>
      </x:c>
      <x:c r="L89" s="19" t="str">
        <x:v>Status semantics regression</x:v>
      </x:c>
      <x:c r="M89" s="19" t="str">
        <x:v>Successful command on faulty device cannot appear as healthy solely from exit status.</x:v>
      </x:c>
      <x:c r="N89" s="10" t="str">
        <x:v>Verified</x:v>
      </x:c>
      <x:c r="O89" s="10" t="str">
        <x:v>Preserve</x:v>
      </x:c>
      <x:c r="P89" s="19" t="str">
        <x:v>2026-09-16: preservation audit PASS. preserved-audit.json: top-level SUCCESS with nested FAILURE renders FAILURE; run state outcome precedence verified Owner acceptance remains separate.</x:v>
      </x:c>
      <x:c r="Q89" s="19" t="str">
        <x:v>Verified (scoped)</x:v>
      </x:c>
      <x:c r="R89" s="19" t="str">
        <x:v>No fresh acceptance run in this milestone; inherited dated effective evidence.</x:v>
      </x:c>
      <x:c r="S89" s="19" t="str">
        <x:v>The device health conclusion is fixture-driven. Windows behavior, owner UI approval and live provider/device acceptance are not established by this milestone.</x:v>
      </x:c>
      <x:c r="T89" s="1"/>
    </x:row>
    <x:row r="90" ht="42" customHeight="1">
      <x:c r="A90" s="16" t="str">
        <x:v>UX-080</x:v>
      </x:c>
      <x:c r="B90" s="17" t="str">
        <x:v>Network</x:v>
      </x:c>
      <x:c r="C90" s="17" t="str">
        <x:v>Scope, impact and rollback preview</x:v>
      </x:c>
      <x:c r="D90" s="17" t="str">
        <x:v>Missing</x:v>
      </x:c>
      <x:c r="E90" s="17" t="str">
        <x:v>No complete state-changing workflow.</x:v>
      </x:c>
      <x:c r="F90" s="17" t="str">
        <x:v>Unverified</x:v>
      </x:c>
      <x:c r="G90" s="17" t="str">
        <x:v>Documented: review and revert, code scope [C3]</x:v>
      </x:c>
      <x:c r="H90" s="17" t="str">
        <x:v>Documented: checkpoint review [D1]</x:v>
      </x:c>
      <x:c r="I90" s="17" t="str">
        <x:v>Require network-specific change scope and recovery plan before enabling writes.</x:v>
      </x:c>
      <x:c r="J90" s="17" t="str">
        <x:v>P1</x:v>
      </x:c>
      <x:c r="K90" s="17" t="str">
        <x:v>3 Trusted work</x:v>
      </x:c>
      <x:c r="L90" s="17" t="str">
        <x:v>Network change backend and approval receipt</x:v>
      </x:c>
      <x:c r="M90" s="17" t="str">
        <x:v>Review displays affected devices and rollback limits; chat revert never substitutes for device rollback.</x:v>
      </x:c>
      <x:c r="N90" s="10" t="str">
        <x:v>Not started</x:v>
      </x:c>
      <x:c r="O90" s="10" t="str">
        <x:v>Proposed</x:v>
      </x:c>
      <x:c r="P90" s="17" t="str">
        <x:v>architecture.json; intentgraph/agent-runtime.cjs:203-214,271-415</x:v>
      </x:c>
      <x:c r="Q90" s="17" t="str">
        <x:v>Missing</x:v>
      </x:c>
      <x:c r="R90" s="17" t="str">
        <x:v>No fresh acceptance run in this milestone; inherited dated effective evidence.</x:v>
      </x:c>
      <x:c r="S90" s="17" t="str">
        <x:v>No state-changing workflow is present to exercise. Windows behavior, owner UI approval and live provider/device acceptance are not established by this milestone.</x:v>
      </x:c>
      <x:c r="T90" s="1"/>
    </x:row>
    <x:row r="91" ht="87" customHeight="1">
      <x:c r="A91" s="18" t="str">
        <x:v>UX-081</x:v>
      </x:c>
      <x:c r="B91" s="19" t="str">
        <x:v>Network</x:v>
      </x:c>
      <x:c r="C91" s="19" t="str">
        <x:v>Comparison of diagnostic runs</x:v>
      </x:c>
      <x:c r="D91" s="19" t="str">
        <x:v>Present</x:v>
      </x:c>
      <x:c r="E91" s="19" t="str">
        <x:v>Compare saved diagnostic evidence with device, command, run, time and exact raw output. Missing output and empty output remain distinct.</x:v>
      </x:c>
      <x:c r="F91" s="19" t="str">
        <x:v>Unverified</x:v>
      </x:c>
      <x:c r="G91" s="19" t="str">
        <x:v>Documented: review scope comparison [C3]</x:v>
      </x:c>
      <x:c r="H91" s="19" t="str">
        <x:v>Documented: diff review [D1]</x:v>
      </x:c>
      <x:c r="I91" s="19" t="str">
        <x:v>Compare selected runs with time, target and evidence alignment.</x:v>
      </x:c>
      <x:c r="J91" s="19" t="str">
        <x:v>P2</x:v>
      </x:c>
      <x:c r="K91" s="19" t="str">
        <x:v>3 Trusted work</x:v>
      </x:c>
      <x:c r="L91" s="19" t="str">
        <x:v>Durable evidence store</x:v>
      </x:c>
      <x:c r="M91" s="19" t="str">
        <x:v>Different devices/times are labeled; missing results are not represented as zero change.</x:v>
      </x:c>
      <x:c r="N91" s="10" t="str">
        <x:v>Verified</x:v>
      </x:c>
      <x:c r="O91" s="10" t="str">
        <x:v>Proposed</x:v>
      </x:c>
      <x:c r="P91" s="19" t="str">
        <x:v>2026-09-16: evidence-shell/evidence-shell-results.json; verify-evidence-tools.cjs. Local isolated checks passed; owner acceptance separate.</x:v>
      </x:c>
      <x:c r="Q91" s="19" t="str">
        <x:v>Partial</x:v>
      </x:c>
      <x:c r="R91" s="19" t="str">
        <x:v>No fresh acceptance run in this milestone; inherited dated effective evidence.</x:v>
      </x:c>
      <x:c r="S91" s="19" t="str">
        <x:v>The comparison UI and timestamp labeling across different runs were not exercised. Windows behavior, owner UI approval and live provider/device acceptance are not established by this milestone.</x:v>
      </x:c>
      <x:c r="T91" s="1"/>
    </x:row>
    <x:row r="92" ht="42" customHeight="1">
      <x:c r="A92" s="16" t="str">
        <x:v>UX-082</x:v>
      </x:c>
      <x:c r="B92" s="17" t="str">
        <x:v>Network</x:v>
      </x:c>
      <x:c r="C92" s="17" t="str">
        <x:v>Topology and visual evidence</x:v>
      </x:c>
      <x:c r="D92" s="17" t="str">
        <x:v>Not verified</x:v>
      </x:c>
      <x:c r="E92" s="17" t="str">
        <x:v>Topology specialist exists; interactive topology output not established.</x:v>
      </x:c>
      <x:c r="F92" s="17" t="str">
        <x:v>Unverified</x:v>
      </x:c>
      <x:c r="G92" s="17" t="str">
        <x:v>Documented: visualizations [C1]</x:v>
      </x:c>
      <x:c r="H92" s="17" t="str">
        <x:v>Unverified</x:v>
      </x:c>
      <x:c r="I92" s="17" t="str">
        <x:v>Add traceable network diagrams only when backed by actual inventory.</x:v>
      </x:c>
      <x:c r="J92" s="17" t="str">
        <x:v>P2</x:v>
      </x:c>
      <x:c r="K92" s="17" t="str">
        <x:v>4 Extend</x:v>
      </x:c>
      <x:c r="L92" s="17" t="str">
        <x:v>Topology data contract</x:v>
      </x:c>
      <x:c r="M92" s="17" t="str">
        <x:v>Nodes/links identify source and freshness; inferred links are labeled.</x:v>
      </x:c>
      <x:c r="N92" s="10" t="str">
        <x:v>Not started</x:v>
      </x:c>
      <x:c r="O92" s="10" t="str">
        <x:v>Investigate</x:v>
      </x:c>
      <x:c r="P92" s="17" t="str">
        <x:v>Runtime/output verification needed; intentgraph/agent-runtime.cjs:203-214,271-415</x:v>
      </x:c>
      <x:c r="Q92" s="17" t="str">
        <x:v>Missing</x:v>
      </x:c>
      <x:c r="R92" s="17" t="str">
        <x:v>No fresh acceptance run in this milestone; inherited dated effective evidence.</x:v>
      </x:c>
      <x:c r="S92" s="17" t="str">
        <x:v>No topology data contract or renderer in Aven shell. Windows behavior, owner UI approval and live provider/device acceptance are not established by this milestone.</x:v>
      </x:c>
      <x:c r="T92" s="1"/>
    </x:row>
    <x:row r="93" ht="87" customHeight="1">
      <x:c r="A93" s="14" t="str">
        <x:v>UX-083</x:v>
      </x:c>
      <x:c r="B93" s="15" t="str">
        <x:v>Automation</x:v>
      </x:c>
      <x:c r="C93" s="15" t="str">
        <x:v>Feed / activity inbox</x:v>
      </x:c>
      <x:c r="D93" s="15" t="str">
        <x:v>Present</x:v>
      </x:c>
      <x:c r="E93" s="15" t="str">
        <x:v>Feed derives entries from actual saved run messages and opens their exact message. Empty views explain what will appear.</x:v>
      </x:c>
      <x:c r="F93" s="15" t="str">
        <x:v>Observed: unread dots and message activity [G1]</x:v>
      </x:c>
      <x:c r="G93" s="15" t="str">
        <x:v>Observed: activity/notification icon [C0]</x:v>
      </x:c>
      <x:c r="H93" s="15" t="str">
        <x:v>Unverified</x:v>
      </x:c>
      <x:c r="I93" s="15" t="str">
        <x:v>Use an attention inbox for failed, finished and waiting investigations.</x:v>
      </x:c>
      <x:c r="J93" s="15" t="str">
        <x:v>P2</x:v>
      </x:c>
      <x:c r="K93" s="15" t="str">
        <x:v>3 Trusted work</x:v>
      </x:c>
      <x:c r="L93" s="15" t="str">
        <x:v>Run events and notification routing</x:v>
      </x:c>
      <x:c r="M93" s="15" t="str">
        <x:v>Every entry opens relevant run; empty view explains what will appear.</x:v>
      </x:c>
      <x:c r="N93" s="13" t="str">
        <x:v>Verified</x:v>
      </x:c>
      <x:c r="O93" s="13" t="str">
        <x:v>Proposed</x:v>
      </x:c>
      <x:c r="P93" s="15" t="str">
        <x:v>2026-09-16: workspace-shell.json; verify-workspace-tools.cjs 30 checks. Isolated tests passed; no live provider/device call. Owner acceptance pending.</x:v>
      </x:c>
      <x:c r="Q93" s="15" t="str">
        <x:v>Partial</x:v>
      </x:c>
      <x:c r="R93" s="15" t="str">
        <x:v>No fresh acceptance run in this milestone; inherited dated effective evidence.</x:v>
      </x:c>
      <x:c r="S93" s="15" t="str">
        <x:v>Only the empty Feed explanation is exercised; populated entries opening their distinct saved runs are not. Windows behavior, owner UI approval and live provider/device acceptance are not established by this milestone.</x:v>
      </x:c>
      <x:c r="T93" s="1"/>
    </x:row>
    <x:row r="94" ht="87" customHeight="1">
      <x:c r="A94" s="16" t="str">
        <x:v>UX-084</x:v>
      </x:c>
      <x:c r="B94" s="17" t="str">
        <x:v>Automation</x:v>
      </x:c>
      <x:c r="C94" s="17" t="str">
        <x:v>Ideas view</x:v>
      </x:c>
      <x:c r="D94" s="17" t="str">
        <x:v>Present</x:v>
      </x:c>
      <x:c r="E94" s="17" t="str">
        <x:v>Ideas can be created, edited, archived and restored with local persistence and save-failure recovery. No seed records.</x:v>
      </x:c>
      <x:c r="F94" s="17" t="str">
        <x:v>Unverified</x:v>
      </x:c>
      <x:c r="G94" s="17" t="str">
        <x:v>Unverified</x:v>
      </x:c>
      <x:c r="H94" s="17" t="str">
        <x:v>Unverified</x:v>
      </x:c>
      <x:c r="I94" s="17" t="str">
        <x:v>Remove from primary navigation until a useful workflow is defined.</x:v>
      </x:c>
      <x:c r="J94" s="17" t="str">
        <x:v>P2</x:v>
      </x:c>
      <x:c r="K94" s="17" t="str">
        <x:v>2 Chat</x:v>
      </x:c>
      <x:c r="L94" s="17" t="str">
        <x:v>Product information architecture</x:v>
      </x:c>
      <x:c r="M94" s="17" t="str">
        <x:v>No dead-end primary navigation; saved user ideas remain recoverable.</x:v>
      </x:c>
      <x:c r="N94" s="10" t="str">
        <x:v>Verified</x:v>
      </x:c>
      <x:c r="O94" s="10" t="str">
        <x:v>Proposed</x:v>
      </x:c>
      <x:c r="P94" s="17" t="str">
        <x:v>2026-09-16: workspace-shell.json; verify-workspace-tools.cjs 30 checks. Isolated tests passed; no live provider/device call. Owner acceptance pending.</x:v>
      </x:c>
      <x:c r="Q94" s="17" t="str">
        <x:v>Verified (scoped)</x:v>
      </x:c>
      <x:c r="R94" s="17" t="str">
        <x:v>No fresh acceptance run in this milestone; inherited dated effective evidence.</x:v>
      </x:c>
      <x:c r="S94" s="17" t="str">
        <x:v>No substantive gap in local idea add/save/reload/archive/restore behavior; no remote persistence is exercised. Windows behavior, owner UI approval and live provider/device acceptance are not established by this milestone.</x:v>
      </x:c>
      <x:c r="T94" s="1"/>
    </x:row>
    <x:row r="95" ht="87" customHeight="1">
      <x:c r="A95" s="18" t="str">
        <x:v>UX-085</x:v>
      </x:c>
      <x:c r="B95" s="19" t="str">
        <x:v>Automation</x:v>
      </x:c>
      <x:c r="C95" s="19" t="str">
        <x:v>Goals and task checklist</x:v>
      </x:c>
      <x:c r="D95" s="19" t="str">
        <x:v>Present</x:v>
      </x:c>
      <x:c r="E95" s="19" t="str">
        <x:v>Local goals and checklist steps require real message evidence for completion. Manual completion is labeled, references remain inspectable, and missing references are explicit.</x:v>
      </x:c>
      <x:c r="F95" s="19" t="str">
        <x:v>Unverified</x:v>
      </x:c>
      <x:c r="G95" s="19" t="str">
        <x:v>Documented: goals and long-running work [C5]</x:v>
      </x:c>
      <x:c r="H95" s="19" t="str">
        <x:v>Documented: task list [D2]</x:v>
      </x:c>
      <x:c r="I95" s="19" t="str">
        <x:v>Show outcome, steps, evidence and blockers before promising autonomous goals.</x:v>
      </x:c>
      <x:c r="J95" s="19" t="str">
        <x:v>P2</x:v>
      </x:c>
      <x:c r="K95" s="19" t="str">
        <x:v>3 Trusted work</x:v>
      </x:c>
      <x:c r="L95" s="19" t="str">
        <x:v>Durable task state</x:v>
      </x:c>
      <x:c r="M95" s="19" t="str">
        <x:v>Completed step links to evidence; manual checklist state is not agent execution proof.</x:v>
      </x:c>
      <x:c r="N95" s="10" t="str">
        <x:v>Verified</x:v>
      </x:c>
      <x:c r="O95" s="10" t="str">
        <x:v>Proposed</x:v>
      </x:c>
      <x:c r="P95" s="19" t="str">
        <x:v>2026-09-16: verify-workspace-tools.cjs 30 checks; workspace-shell.json. Isolated tests passed; no live provider/device call. Owner acceptance pending.</x:v>
      </x:c>
      <x:c r="Q95" s="19" t="str">
        <x:v>Partial</x:v>
      </x:c>
      <x:c r="R95" s="19" t="str">
        <x:v>No fresh acceptance run in this milestone; inherited dated effective evidence.</x:v>
      </x:c>
      <x:c r="S95" s="19" t="str">
        <x:v>The child module check only inspected source text. Completion, persistence and invalid-evidence rejection were not behaviorally tested. Windows behavior, owner UI approval and live provider/device acceptance are not established by this milestone.</x:v>
      </x:c>
      <x:c r="T95" s="1"/>
    </x:row>
    <x:row r="96" ht="42" customHeight="1">
      <x:c r="A96" s="16" t="str">
        <x:v>UX-086</x:v>
      </x:c>
      <x:c r="B96" s="17" t="str">
        <x:v>Automation</x:v>
      </x:c>
      <x:c r="C96" s="17" t="str">
        <x:v>Scheduled investigations</x:v>
      </x:c>
      <x:c r="D96" s="17" t="str">
        <x:v>Missing</x:v>
      </x:c>
      <x:c r="E96" s="17" t="str">
        <x:v>No user-facing durable scheduling workflow.</x:v>
      </x:c>
      <x:c r="F96" s="17" t="str">
        <x:v>Observed: routine panel and paused routine [G1]</x:v>
      </x:c>
      <x:c r="G96" s="17" t="str">
        <x:v>Documented: schedules and in-chat follow-ups [C7]</x:v>
      </x:c>
      <x:c r="H96" s="17" t="str">
        <x:v>Documented: recurring tasks [D3]</x:v>
      </x:c>
      <x:c r="I96" s="17" t="str">
        <x:v>Add preview, timezone, pause/resume, last/next run and run history.</x:v>
      </x:c>
      <x:c r="J96" s="17" t="str">
        <x:v>P2</x:v>
      </x:c>
      <x:c r="K96" s="17" t="str">
        <x:v>4 Extend</x:v>
      </x:c>
      <x:c r="L96" s="17" t="str">
        <x:v>Scheduler and authorization limits</x:v>
      </x:c>
      <x:c r="M96" s="17" t="str">
        <x:v>Disabled schedule does not run; next-run time is correct; failures are visible.</x:v>
      </x:c>
      <x:c r="N96" s="10" t="str">
        <x:v>Not started</x:v>
      </x:c>
      <x:c r="O96" s="10" t="str">
        <x:v>Proposed</x:v>
      </x:c>
      <x:c r="P96" s="17" t="str">
        <x:v>polished.html; server.cjs; polished.js:434-449; intentgraph/ui/index.html:7-8</x:v>
      </x:c>
      <x:c r="Q96" s="17" t="str">
        <x:v>Missing</x:v>
      </x:c>
      <x:c r="R96" s="17" t="str">
        <x:v>No fresh acceptance run in this milestone; inherited dated effective evidence.</x:v>
      </x:c>
      <x:c r="S96" s="17" t="str">
        <x:v>No scheduler surface exists. Windows behavior, owner UI approval and live provider/device acceptance are not established by this milestone.</x:v>
      </x:c>
      <x:c r="T96" s="1"/>
    </x:row>
    <x:row r="97" ht="72" customHeight="1">
      <x:c r="A97" s="18" t="str">
        <x:v>UX-087</x:v>
      </x:c>
      <x:c r="B97" s="19" t="str">
        <x:v>Automation</x:v>
      </x:c>
      <x:c r="C97" s="19" t="str">
        <x:v>Completion and attention alerts</x:v>
      </x:c>
      <x:c r="D97" s="19" t="str">
        <x:v>Partial</x:v>
      </x:c>
      <x:c r="E97" s="19" t="str">
        <x:v>Deduplicated local completion notices link to the correct result and respect mute. Broader attention/system alerts remain pending.</x:v>
      </x:c>
      <x:c r="F97" s="19" t="str">
        <x:v>Observed: unread state and notification setting [G1]</x:v>
      </x:c>
      <x:c r="G97" s="19" t="str">
        <x:v>Documented: notifications [C1]</x:v>
      </x:c>
      <x:c r="H97" s="19" t="str">
        <x:v>Unverified</x:v>
      </x:c>
      <x:c r="I97" s="19" t="str">
        <x:v>Notify only for meaningful completion, failure or required input.</x:v>
      </x:c>
      <x:c r="J97" s="19" t="str">
        <x:v>P1</x:v>
      </x:c>
      <x:c r="K97" s="19" t="str">
        <x:v>3 Trusted work</x:v>
      </x:c>
      <x:c r="L97" s="19" t="str">
        <x:v>Notification channel</x:v>
      </x:c>
      <x:c r="M97" s="19" t="str">
        <x:v>Alert opens correct task and respects mute; duplicate events do not spam.</x:v>
      </x:c>
      <x:c r="N97" s="10" t="str">
        <x:v>Implemented</x:v>
      </x:c>
      <x:c r="O97" s="10" t="str">
        <x:v>Proposed</x:v>
      </x:c>
      <x:c r="P97" s="19" t="str">
        <x:v>2026-09-16: alerts.json. Implemented slice verified; full feature remains pending.</x:v>
      </x:c>
      <x:c r="Q97" s="19" t="str">
        <x:v>Partial</x:v>
      </x:c>
      <x:c r="R97" s="19" t="str">
        <x:v>No fresh acceptance run in this milestone; inherited dated effective evidence.</x:v>
      </x:c>
      <x:c r="S97" s="19" t="str">
        <x:v>The enabled preference and finished-result path are covered through UX-057, but waiting/error variants and duplicate visible-alert suppression are not. Windows behavior, owner UI approval and live provider/device acceptance are not established by this milestone.</x:v>
      </x:c>
      <x:c r="T97" s="1"/>
    </x:row>
    <x:row r="98" ht="42" customHeight="1">
      <x:c r="A98" s="16" t="str">
        <x:v>UX-088</x:v>
      </x:c>
      <x:c r="B98" s="17" t="str">
        <x:v>Automation</x:v>
      </x:c>
      <x:c r="C98" s="17" t="str">
        <x:v>Plugin discovery and management</x:v>
      </x:c>
      <x:c r="D98" s="17" t="str">
        <x:v>Placeholder</x:v>
      </x:c>
      <x:c r="E98" s="17" t="str">
        <x:v>Network connections surface is not a general plugin lifecycle.</x:v>
      </x:c>
      <x:c r="F98" s="17" t="str">
        <x:v>Observed: Plugins entry [G1]</x:v>
      </x:c>
      <x:c r="G98" s="17" t="str">
        <x:v>Observed: Plugins navigation [C0]</x:v>
      </x:c>
      <x:c r="H98" s="17" t="str">
        <x:v>Documented: plugins/connectors [D1]</x:v>
      </x:c>
      <x:c r="I98" s="17" t="str">
        <x:v>Prioritize real network adapters; expose install/connect/capability state accurately.</x:v>
      </x:c>
      <x:c r="J98" s="17" t="str">
        <x:v>P2</x:v>
      </x:c>
      <x:c r="K98" s="17" t="str">
        <x:v>4 Extend</x:v>
      </x:c>
      <x:c r="L98" s="17" t="str">
        <x:v>Plugin/adaptor registry</x:v>
      </x:c>
      <x:c r="M98" s="17" t="str">
        <x:v>Unavailable tool cannot be selected; permissions and connection health are visible.</x:v>
      </x:c>
      <x:c r="N98" s="10" t="str">
        <x:v>Not started</x:v>
      </x:c>
      <x:c r="O98" s="10" t="str">
        <x:v>Proposed</x:v>
      </x:c>
      <x:c r="P98" s="17" t="str">
        <x:v>polished.html plugins pane; polished.js:434-449; intentgraph/ui/index.html:7-8</x:v>
      </x:c>
      <x:c r="Q98" s="17" t="str">
        <x:v>Missing</x:v>
      </x:c>
      <x:c r="R98" s="17" t="str">
        <x:v>No fresh acceptance run in this milestone; inherited dated effective evidence.</x:v>
      </x:c>
      <x:c r="S98" s="17" t="str">
        <x:v>Local fixtures only; no provider/device calls. Windows behavior, owner UI approval and live provider/device acceptance are not established by this milestone.</x:v>
      </x:c>
      <x:c r="T98" s="1"/>
    </x:row>
    <x:row r="99" ht="42" customHeight="1">
      <x:c r="A99" s="18" t="str">
        <x:v>UX-089</x:v>
      </x:c>
      <x:c r="B99" s="19" t="str">
        <x:v>Automation</x:v>
      </x:c>
      <x:c r="C99" s="19" t="str">
        <x:v>Skills and reusable workflows</x:v>
      </x:c>
      <x:c r="D99" s="19" t="str">
        <x:v>Partial</x:v>
      </x:c>
      <x:c r="E99" s="19" t="str">
        <x:v>Coworker documents exist; no complete skills browser/workflow picker.</x:v>
      </x:c>
      <x:c r="F99" s="19" t="str">
        <x:v>Unverified</x:v>
      </x:c>
      <x:c r="G99" s="19" t="str">
        <x:v>Documented: skills and plugins [C6]</x:v>
      </x:c>
      <x:c r="H99" s="19" t="str">
        <x:v>Documented: skills/plugins [D1]</x:v>
      </x:c>
      <x:c r="I99" s="19" t="str">
        <x:v>Add saved diagnostic procedures with purpose, inputs and evidence requirements.</x:v>
      </x:c>
      <x:c r="J99" s="19" t="str">
        <x:v>P2</x:v>
      </x:c>
      <x:c r="K99" s="19" t="str">
        <x:v>4 Extend</x:v>
      </x:c>
      <x:c r="L99" s="19" t="str">
        <x:v>Workflow schema/runtime</x:v>
      </x:c>
      <x:c r="M99" s="19" t="str">
        <x:v>Selected procedure identifies required access; version used is traceable.</x:v>
      </x:c>
      <x:c r="N99" s="10" t="str">
        <x:v>Not started</x:v>
      </x:c>
      <x:c r="O99" s="10" t="str">
        <x:v>Proposed</x:v>
      </x:c>
      <x:c r="P99" s="19" t="str">
        <x:v>polished.js documents; runtime; polished.js:434-449; intentgraph/ui/index.html:7-8</x:v>
      </x:c>
      <x:c r="Q99" s="19" t="str">
        <x:v>Missing</x:v>
      </x:c>
      <x:c r="R99" s="19" t="str">
        <x:v>No fresh acceptance run in this milestone; inherited dated effective evidence.</x:v>
      </x:c>
      <x:c r="S99" s="19" t="str">
        <x:v>Local documents exist, but the requested reusable workflow capability is absent. Windows behavior, owner UI approval and live provider/device acceptance are not established by this milestone.</x:v>
      </x:c>
      <x:c r="T99" s="1"/>
    </x:row>
    <x:row r="100" ht="42" customHeight="1">
      <x:c r="A100" s="16" t="str">
        <x:v>UX-090</x:v>
      </x:c>
      <x:c r="B100" s="17" t="str">
        <x:v>Automation</x:v>
      </x:c>
      <x:c r="C100" s="17" t="str">
        <x:v>Mobile or remote handoff</x:v>
      </x:c>
      <x:c r="D100" s="17" t="str">
        <x:v>Missing</x:v>
      </x:c>
      <x:c r="E100" s="17" t="str">
        <x:v>Local browser prototype and localhost runtime.</x:v>
      </x:c>
      <x:c r="F100" s="17" t="str">
        <x:v>Unverified</x:v>
      </x:c>
      <x:c r="G100" s="17" t="str">
        <x:v>Documented: remote work [C5]</x:v>
      </x:c>
      <x:c r="H100" s="17" t="str">
        <x:v>Documented: Dispatch/remote sessions [D1]</x:v>
      </x:c>
      <x:c r="I100" s="17" t="str">
        <x:v>Defer until identity, remote runtime and resumability are implemented.</x:v>
      </x:c>
      <x:c r="J100" s="17" t="str">
        <x:v>P3</x:v>
      </x:c>
      <x:c r="K100" s="17" t="str">
        <x:v>4 Extend</x:v>
      </x:c>
      <x:c r="L100" s="17" t="str">
        <x:v>2026-09-16 user decision: keep cross-device history, accounts/customer isolation and remote handoff pending; finish local features first.</x:v>
      </x:c>
      <x:c r="M100" s="17" t="str">
        <x:v>Handoff preserves context and permissions without concurrent duplicate execution.</x:v>
      </x:c>
      <x:c r="N100" s="10" t="str">
        <x:v>Deferred</x:v>
      </x:c>
      <x:c r="O100" s="10" t="str">
        <x:v>Proposed</x:v>
      </x:c>
      <x:c r="P100" s="17" t="str">
        <x:v>architecture.json; polished.js:434-449; intentgraph/ui/index.html:7-8</x:v>
      </x:c>
      <x:c r="Q100" s="17" t="str">
        <x:v>Deferred</x:v>
      </x:c>
      <x:c r="R100" s="17" t="str">
        <x:v>No fresh acceptance run in this milestone; inherited dated effective evidence.</x:v>
      </x:c>
      <x:c r="S100" s="17" t="str">
        <x:v>Deferred by user decision. Windows behavior, owner UI approval and live provider/device acceptance are not established by this milestone.</x:v>
      </x:c>
      <x:c r="T100" s="1"/>
    </x:row>
    <x:row r="101" ht="72" customHeight="1">
      <x:c r="A101" s="14" t="str">
        <x:v>UX-091</x:v>
      </x:c>
      <x:c r="B101" s="15" t="str">
        <x:v>Quality</x:v>
      </x:c>
      <x:c r="C101" s="15" t="str">
        <x:v>Keyboard-only operation</x:v>
      </x:c>
      <x:c r="D101" s="15" t="str">
        <x:v>Present</x:v>
      </x:c>
      <x:c r="E101" s="15" t="str">
        <x:v>Keyboard navigation, menus, focus visibility, Escape and pane controls passed local checks. File editor uses named native controls.</x:v>
      </x:c>
      <x:c r="F101" s="15" t="str">
        <x:v>Unverified</x:v>
      </x:c>
      <x:c r="G101" s="15" t="str">
        <x:v>Documented: documented shortcuts [C4]</x:v>
      </x:c>
      <x:c r="H101" s="15" t="str">
        <x:v>Documented: keyboard shortcuts [D2]</x:v>
      </x:c>
      <x:c r="I101" s="15" t="str">
        <x:v>Verify every primary chat/profile/menu workflow without a mouse.</x:v>
      </x:c>
      <x:c r="J101" s="15" t="str">
        <x:v>P1</x:v>
      </x:c>
      <x:c r="K101" s="15" t="str">
        <x:v>2 Chat</x:v>
      </x:c>
      <x:c r="L101" s="15" t="str">
        <x:v>Interaction audit</x:v>
      </x:c>
      <x:c r="M101" s="15" t="str">
        <x:v>Visible focus, logical order, no traps; Escape returns focus correctly.</x:v>
      </x:c>
      <x:c r="N101" s="13" t="str">
        <x:v>Verified</x:v>
      </x:c>
      <x:c r="O101" s="13" t="str">
        <x:v>Proposed</x:v>
      </x:c>
      <x:c r="P101" s="15" t="str">
        <x:v>2026-09-16: accessibility-results.json; pane-controls.json. Local isolated checks passed; owner acceptance separate.</x:v>
      </x:c>
      <x:c r="Q101" s="15" t="str">
        <x:v>Partial</x:v>
      </x:c>
      <x:c r="R101" s="15" t="str">
        <x:v>No fresh acceptance run in this milestone; inherited dated effective evidence.</x:v>
      </x:c>
      <x:c r="S101" s="15" t="str">
        <x:v>Plus/settings keyboard paths pass, but all visible controls, full logical order, trap detection and every Escape return are not covered. Windows behavior, owner UI approval and live provider/device acceptance are not established by this milestone.</x:v>
      </x:c>
      <x:c r="T101" s="1"/>
    </x:row>
    <x:row r="102" ht="72" customHeight="1">
      <x:c r="A102" s="16" t="str">
        <x:v>UX-092</x:v>
      </x:c>
      <x:c r="B102" s="17" t="str">
        <x:v>Quality</x:v>
      </x:c>
      <x:c r="C102" s="17" t="str">
        <x:v>Accessible names and state</x:v>
      </x:c>
      <x:c r="D102" s="17" t="str">
        <x:v>Present</x:v>
      </x:c>
      <x:c r="E102" s="17" t="str">
        <x:v>Accessible labels, selected states and active-run role/status verified with held mocked NDJSON; mode picker disables during a run.</x:v>
      </x:c>
      <x:c r="F102" s="17" t="str">
        <x:v>Observed: reaction toggle labels observed [G1]</x:v>
      </x:c>
      <x:c r="G102" s="17" t="str">
        <x:v>Unverified</x:v>
      </x:c>
      <x:c r="H102" s="17" t="str">
        <x:v>Unverified</x:v>
      </x:c>
      <x:c r="I102" s="17" t="str">
        <x:v>Use accurate roles, names and selected/busy states.</x:v>
      </x:c>
      <x:c r="J102" s="17" t="str">
        <x:v>P1</x:v>
      </x:c>
      <x:c r="K102" s="17" t="str">
        <x:v>2 Chat</x:v>
      </x:c>
      <x:c r="L102" s="17" t="str">
        <x:v>Accessibility audit</x:v>
      </x:c>
      <x:c r="M102" s="17" t="str">
        <x:v>Screen reader identifies each action, selected coworker and active run state correctly.</x:v>
      </x:c>
      <x:c r="N102" s="10" t="str">
        <x:v>Verified</x:v>
      </x:c>
      <x:c r="O102" s="10" t="str">
        <x:v>Proposed</x:v>
      </x:c>
      <x:c r="P102" s="17" t="str">
        <x:v>2026-09-16: accessibility-results.json UX092; no full WCAG conformance claim. Local isolated checks passed; owner acceptance separate.</x:v>
      </x:c>
      <x:c r="Q102" s="17" t="str">
        <x:v>Partial</x:v>
      </x:c>
      <x:c r="R102" s="17" t="str">
        <x:v>No fresh acceptance run in this milestone; inherited dated effective evidence.</x:v>
      </x:c>
      <x:c r="S102" s="17" t="str">
        <x:v>Representative ARIA roles/names and selected state pass, but there is no screen-reader run covering every action, coworker and active-run state. Windows behavior, owner UI approval and live provider/device acceptance are not established by this milestone.</x:v>
      </x:c>
      <x:c r="T102" s="1"/>
    </x:row>
    <x:row r="103" ht="87" customHeight="1">
      <x:c r="A103" s="18" t="str">
        <x:v>UX-093</x:v>
      </x:c>
      <x:c r="B103" s="19" t="str">
        <x:v>Quality</x:v>
      </x:c>
      <x:c r="C103" s="19" t="str">
        <x:v>Contrast, text scaling and reflow</x:v>
      </x:c>
      <x:c r="D103" s="19" t="str">
        <x:v>Present</x:v>
      </x:c>
      <x:c r="E103" s="19" t="str">
        <x:v>Measured dark/light text contrast and tested 200% computed font scaling with usable controls. Narrow content reflows in tested Chromium views.</x:v>
      </x:c>
      <x:c r="F103" s="19" t="str">
        <x:v>Unverified</x:v>
      </x:c>
      <x:c r="G103" s="19" t="str">
        <x:v>Unverified</x:v>
      </x:c>
      <x:c r="H103" s="19" t="str">
        <x:v>Unverified</x:v>
      </x:c>
      <x:c r="I103" s="19" t="str">
        <x:v>Check selected WCAG 2.2 AA criteria and common desktop zoom levels.</x:v>
      </x:c>
      <x:c r="J103" s="19" t="str">
        <x:v>P1</x:v>
      </x:c>
      <x:c r="K103" s="19" t="str">
        <x:v>2 Chat</x:v>
      </x:c>
      <x:c r="L103" s="19" t="str">
        <x:v>Theme/viewport audit</x:v>
      </x:c>
      <x:c r="M103" s="19" t="str">
        <x:v>At 200% text scale controls remain usable; contrast measured; narrow content reflows.</x:v>
      </x:c>
      <x:c r="N103" s="10" t="str">
        <x:v>Verified</x:v>
      </x:c>
      <x:c r="O103" s="10" t="str">
        <x:v>Investigate</x:v>
      </x:c>
      <x:c r="P103" s="19" t="str">
        <x:v>2026-09-16: accessibility-results.json; scoped checks, not a full WCAG conformance claim. Isolated tests passed; no live provider/device call. Owner acceptance pending.</x:v>
      </x:c>
      <x:c r="Q103" s="19" t="str">
        <x:v>Partial</x:v>
      </x:c>
      <x:c r="R103" s="19" t="str">
        <x:v>No fresh acceptance run in this milestone; inherited dated effective evidence.</x:v>
      </x:c>
      <x:c r="S103" s="19" t="str">
        <x:v>One answer contrast measurement and 200% narrow overflow check pass, but all controls and a broader narrow/reflow matrix are not measured. Windows behavior, owner UI approval and live provider/device acceptance are not established by this milestone.</x:v>
      </x:c>
      <x:c r="T103" s="1"/>
    </x:row>
    <x:row r="104" ht="72" customHeight="1">
      <x:c r="A104" s="16" t="str">
        <x:v>UX-094</x:v>
      </x:c>
      <x:c r="B104" s="17" t="str">
        <x:v>Quality</x:v>
      </x:c>
      <x:c r="C104" s="17" t="str">
        <x:v>Reduced motion</x:v>
      </x:c>
      <x:c r="D104" s="17" t="str">
        <x:v>Present</x:v>
      </x:c>
      <x:c r="E104" s="17" t="str">
        <x:v>Reduced-motion mode cancels decorative animation while state changes remain visible. Forced-colors scrollbar fallback verified.</x:v>
      </x:c>
      <x:c r="F104" s="17" t="str">
        <x:v>Unverified</x:v>
      </x:c>
      <x:c r="G104" s="17" t="str">
        <x:v>Unverified</x:v>
      </x:c>
      <x:c r="H104" s="17" t="str">
        <x:v>Unverified</x:v>
      </x:c>
      <x:c r="I104" s="17" t="str">
        <x:v>Respect reduced motion without hiding progress or breaking focus.</x:v>
      </x:c>
      <x:c r="J104" s="17" t="str">
        <x:v>P2</x:v>
      </x:c>
      <x:c r="K104" s="17" t="str">
        <x:v>2 Chat</x:v>
      </x:c>
      <x:c r="L104" s="17" t="str">
        <x:v>Motion preference checks</x:v>
      </x:c>
      <x:c r="M104" s="17" t="str">
        <x:v>Motion-reduced mode preserves all state changes and cancels decorative animation.</x:v>
      </x:c>
      <x:c r="N104" s="10" t="str">
        <x:v>Verified</x:v>
      </x:c>
      <x:c r="O104" s="10" t="str">
        <x:v>Proposed</x:v>
      </x:c>
      <x:c r="P104" s="17" t="str">
        <x:v>2026-09-16: accessibility-results.json. Isolated tests passed; no live provider/device call. Owner acceptance pending.</x:v>
      </x:c>
      <x:c r="Q104" s="17" t="str">
        <x:v>Partial</x:v>
      </x:c>
      <x:c r="R104" s="17" t="str">
        <x:v>No fresh acceptance run in this milestone; inherited dated effective evidence.</x:v>
      </x:c>
      <x:c r="S104" s="17" t="str">
        <x:v>Decorative animation is disabled under reduced motion, but state-changing interactions under the preference are not exercised. Windows behavior, owner UI approval and live provider/device acceptance are not established by this milestone.</x:v>
      </x:c>
      <x:c r="T104" s="1"/>
    </x:row>
    <x:row r="105" ht="72" customHeight="1">
      <x:c r="A105" s="18" t="str">
        <x:v>UX-095</x:v>
      </x:c>
      <x:c r="B105" s="19" t="str">
        <x:v>Quality</x:v>
      </x:c>
      <x:c r="C105" s="19" t="str">
        <x:v>Hover, focus and touch menus</x:v>
      </x:c>
      <x:c r="D105" s="19" t="str">
        <x:v>Present</x:v>
      </x:c>
      <x:c r="E105" s="19" t="str">
        <x:v>Pointer, touch and keyboard menus remain within viewport. Arrow navigation and Escape focus return pass at tested widths.</x:v>
      </x:c>
      <x:c r="F105" s="19" t="str">
        <x:v>Observed: compact contextual actions [G1]</x:v>
      </x:c>
      <x:c r="G105" s="19" t="str">
        <x:v>Unverified</x:v>
      </x:c>
      <x:c r="H105" s="19" t="str">
        <x:v>Unverified</x:v>
      </x:c>
      <x:c r="I105" s="19" t="str">
        <x:v>Keep actions discoverable by keyboard and touch without persistent clutter.</x:v>
      </x:c>
      <x:c r="J105" s="19" t="str">
        <x:v>P1</x:v>
      </x:c>
      <x:c r="K105" s="19" t="str">
        <x:v>2 Chat</x:v>
      </x:c>
      <x:c r="L105" s="19" t="str">
        <x:v>UX-005</x:v>
      </x:c>
      <x:c r="M105" s="19" t="str">
        <x:v>Menus stay within viewport, remain operable on hover, close predictably and restore focus.</x:v>
      </x:c>
      <x:c r="N105" s="10" t="str">
        <x:v>Verified</x:v>
      </x:c>
      <x:c r="O105" s="10" t="str">
        <x:v>Proposed</x:v>
      </x:c>
      <x:c r="P105" s="19" t="str">
        <x:v>2026-09-16: accessibility-results.json. Isolated tests passed; no live provider/device call. Owner acceptance pending.</x:v>
      </x:c>
      <x:c r="Q105" s="19" t="str">
        <x:v>Partial</x:v>
      </x:c>
      <x:c r="R105" s="19" t="str">
        <x:v>No fresh acceptance run in this milestone; inherited dated effective evidence.</x:v>
      </x:c>
      <x:c r="S105" s="19" t="str">
        <x:v>Touch target sizes pass, but hover menu bounds, close behavior and focus restoration are not covered by this quality check. Windows behavior, owner UI approval and live provider/device acceptance are not established by this milestone.</x:v>
      </x:c>
      <x:c r="T105" s="1"/>
    </x:row>
    <x:row r="106" ht="72" customHeight="1">
      <x:c r="A106" s="16" t="str">
        <x:v>UX-096</x:v>
      </x:c>
      <x:c r="B106" s="17" t="str">
        <x:v>Quality</x:v>
      </x:c>
      <x:c r="C106" s="17" t="str">
        <x:v>Responsive pane layout</x:v>
      </x:c>
      <x:c r="D106" s="17" t="str">
        <x:v>Present</x:v>
      </x:c>
      <x:c r="E106" s="17" t="str">
        <x:v>Collapsed sidebar overflow corrected. Chat, panes and menus retain controls at 320/390/760/1440px and with 200% text stress.</x:v>
      </x:c>
      <x:c r="F106" s="17" t="str">
        <x:v>Observed: profile pane reduces chat width [G1]</x:v>
      </x:c>
      <x:c r="G106" s="17" t="str">
        <x:v>Observed: resizable split workspace [C0]</x:v>
      </x:c>
      <x:c r="H106" s="17" t="str">
        <x:v>Documented: pane arrangement [D1]</x:v>
      </x:c>
      <x:c r="I106" s="17" t="str">
        <x:v>Keep composer and selected context usable with sidebar and evidence pane open.</x:v>
      </x:c>
      <x:c r="J106" s="17" t="str">
        <x:v>P1</x:v>
      </x:c>
      <x:c r="K106" s="17" t="str">
        <x:v>2 Chat</x:v>
      </x:c>
      <x:c r="L106" s="17" t="str">
        <x:v>Overflow containment and pane layout</x:v>
      </x:c>
      <x:c r="M106" s="17" t="str">
        <x:v>Desktop, narrow window and zoomed layouts retain controls; deliberate table scroll is contained.</x:v>
      </x:c>
      <x:c r="N106" s="10" t="str">
        <x:v>Verified</x:v>
      </x:c>
      <x:c r="O106" s="10" t="str">
        <x:v>Proposed</x:v>
      </x:c>
      <x:c r="P106" s="17" t="str">
        <x:v>2026-09-16: accessibility-results.json. Isolated tests passed; no live provider/device call. Owner acceptance pending.</x:v>
      </x:c>
      <x:c r="Q106" s="17" t="str">
        <x:v>Partial</x:v>
      </x:c>
      <x:c r="R106" s="17" t="str">
        <x:v>No fresh acceptance run in this milestone; inherited dated effective evidence.</x:v>
      </x:c>
      <x:c r="S106" s="17" t="str">
        <x:v>A 320px pane open/close and containment check passes, but desktop/zoomed controls and deliberate table scrolling are not covered. Windows behavior, owner UI approval and live provider/device acceptance are not established by this milestone.</x:v>
      </x:c>
      <x:c r="T106" s="1"/>
    </x:row>
    <x:row r="107" ht="48" customHeight="1">
      <x:c r="A107" s="18" t="str">
        <x:v>UX-097</x:v>
      </x:c>
      <x:c r="B107" s="19" t="str">
        <x:v>Quality</x:v>
      </x:c>
      <x:c r="C107" s="19" t="str">
        <x:v>Empty and unavailable states</x:v>
      </x:c>
      <x:c r="D107" s="19" t="str">
        <x:v>Partial</x:v>
      </x:c>
      <x:c r="E107" s="19" t="str">
        <x:v>Feed empty, artifacts sample-only, Settings not-connected states exist.</x:v>
      </x:c>
      <x:c r="F107" s="19" t="str">
        <x:v>Unverified</x:v>
      </x:c>
      <x:c r="G107" s="19" t="str">
        <x:v>Unverified</x:v>
      </x:c>
      <x:c r="H107" s="19" t="str">
        <x:v>Unverified</x:v>
      </x:c>
      <x:c r="I107" s="19" t="str">
        <x:v>Explain what to do next and remove dead-end primary entries.</x:v>
      </x:c>
      <x:c r="J107" s="19" t="str">
        <x:v>P1</x:v>
      </x:c>
      <x:c r="K107" s="19" t="str">
        <x:v>2 Chat</x:v>
      </x:c>
      <x:c r="L107" s="19" t="str">
        <x:v>Capability inventory</x:v>
      </x:c>
      <x:c r="M107" s="19" t="str">
        <x:v>Every visible action has a real result or an accurate reason it is unavailable.</x:v>
      </x:c>
      <x:c r="N107" s="10" t="str">
        <x:v>Not started</x:v>
      </x:c>
      <x:c r="O107" s="10" t="str">
        <x:v>Proposed</x:v>
      </x:c>
      <x:c r="P107" s="19" t="str">
        <x:v>A0 Feed, Artifacts, Settings; polished.css:45-64,116-143,325-329; polished.js:19-58,437-449</x:v>
      </x:c>
      <x:c r="Q107" s="19" t="str">
        <x:v>Partial</x:v>
      </x:c>
      <x:c r="R107" s="19" t="str">
        <x:v>No fresh acceptance run in this milestone; inherited dated effective evidence.</x:v>
      </x:c>
      <x:c r="S107" s="19" t="str">
        <x:v>Unavailable context is truthful, but the evidence does not enumerate every visible action and its real result/unavailable explanation. Windows behavior, owner UI approval and live provider/device acceptance are not established by this milestone.</x:v>
      </x:c>
      <x:c r="T107" s="1"/>
    </x:row>
    <x:row r="108" ht="48" customHeight="1">
      <x:c r="A108" s="16" t="str">
        <x:v>UX-098</x:v>
      </x:c>
      <x:c r="B108" s="17" t="str">
        <x:v>Quality</x:v>
      </x:c>
      <x:c r="C108" s="17" t="str">
        <x:v>Recoverable errors</x:v>
      </x:c>
      <x:c r="D108" s="17" t="str">
        <x:v>Partial</x:v>
      </x:c>
      <x:c r="E108" s="17" t="str">
        <x:v>Request errors surfaced; broad failure UX needs end-to-end checks.</x:v>
      </x:c>
      <x:c r="F108" s="17" t="str">
        <x:v>Unverified</x:v>
      </x:c>
      <x:c r="G108" s="17" t="str">
        <x:v>Unverified</x:v>
      </x:c>
      <x:c r="H108" s="17" t="str">
        <x:v>Unverified</x:v>
      </x:c>
      <x:c r="I108" s="17" t="str">
        <x:v>Preserve draft/evidence and offer relevant retry, reconnect or inspect action.</x:v>
      </x:c>
      <x:c r="J108" s="17" t="str">
        <x:v>P1</x:v>
      </x:c>
      <x:c r="K108" s="17" t="str">
        <x:v>3 Trusted work</x:v>
      </x:c>
      <x:c r="L108" s="17" t="str">
        <x:v>Structured errors</x:v>
      </x:c>
      <x:c r="M108" s="17" t="str">
        <x:v>Offline, timeout, cancellation and provider failure are distinct and recoverable.</x:v>
      </x:c>
      <x:c r="N108" s="10" t="str">
        <x:v>Not started</x:v>
      </x:c>
      <x:c r="O108" s="10" t="str">
        <x:v>Proposed</x:v>
      </x:c>
      <x:c r="P108" s="17" t="str">
        <x:v>polished.js request handlers; server.cjs; polished.css:45-64,116-143,325-329; polished.js:19-58,437-449</x:v>
      </x:c>
      <x:c r="Q108" s="17" t="str">
        <x:v>Partial</x:v>
      </x:c>
      <x:c r="R108" s="17" t="str">
        <x:v>Current local storage, response-loss, cancellation and persistence-failure fixtures preserve draft/evidence and explicit review. Provider-specific errors remain mocked; no live reachability proof. Evidence: docs/evidence/admission-2026-09-19/verification.json; browser-checks.json.</x:v>
      </x:c>
      <x:c r="S108" s="17" t="str">
        <x:v>Only the creation transaction/reload/retry path was fixed and tested in this batch. Windows behavior, owner UI approval and live provider/device acceptance are not established by this milestone.</x:v>
      </x:c>
      <x:c r="T108" s="1"/>
    </x:row>
    <x:row r="109" ht="48" customHeight="1">
      <x:c r="A109" s="18" t="str">
        <x:v>UX-099</x:v>
      </x:c>
      <x:c r="B109" s="19" t="str">
        <x:v>Quality</x:v>
      </x:c>
      <x:c r="C109" s="19" t="str">
        <x:v>Long transcript performance</x:v>
      </x:c>
      <x:c r="D109" s="19" t="str">
        <x:v>Not verified</x:v>
      </x:c>
      <x:c r="E109" s="19" t="str">
        <x:v>No large-history performance result established.</x:v>
      </x:c>
      <x:c r="F109" s="19" t="str">
        <x:v>Unverified</x:v>
      </x:c>
      <x:c r="G109" s="19" t="str">
        <x:v>Unverified</x:v>
      </x:c>
      <x:c r="H109" s="19" t="str">
        <x:v>Unverified</x:v>
      </x:c>
      <x:c r="I109" s="19" t="str">
        <x:v>Measure before adding virtualization; preserve search and evidence anchors.</x:v>
      </x:c>
      <x:c r="J109" s="19" t="str">
        <x:v>P2</x:v>
      </x:c>
      <x:c r="K109" s="19" t="str">
        <x:v>3 Trusted work</x:v>
      </x:c>
      <x:c r="L109" s="19" t="str">
        <x:v>Large transcript fixture</x:v>
      </x:c>
      <x:c r="M109" s="19" t="str">
        <x:v>Long chat stays responsive and scrolling does not lose selection or anchors.</x:v>
      </x:c>
      <x:c r="N109" s="10" t="str">
        <x:v>Not started</x:v>
      </x:c>
      <x:c r="O109" s="10" t="str">
        <x:v>Investigate</x:v>
      </x:c>
      <x:c r="P109" s="19" t="str">
        <x:v>Performance check not run; polished.css:45-64,116-143,325-329; polished.js:19-58,437-449</x:v>
      </x:c>
      <x:c r="Q109" s="19" t="str">
        <x:v>Unverified</x:v>
      </x:c>
      <x:c r="R109" s="19" t="str">
        <x:v>No fresh acceptance run in this milestone; inherited dated effective evidence.</x:v>
      </x:c>
      <x:c r="S109" s="19" t="str">
        <x:v>A browser-control timeout occurred on the live artifact view; cause was not isolated and is not counted as a product defect. Windows behavior, owner UI approval and live provider/device acceptance are not established by this milestone.</x:v>
      </x:c>
      <x:c r="T109" s="1"/>
    </x:row>
    <x:row r="110" ht="48" customHeight="1">
      <x:c r="A110" s="16" t="str">
        <x:v>UX-100</x:v>
      </x:c>
      <x:c r="B110" s="17" t="str">
        <x:v>Quality</x:v>
      </x:c>
      <x:c r="C110" s="17" t="str">
        <x:v>First-run onboarding</x:v>
      </x:c>
      <x:c r="D110" s="17" t="str">
        <x:v>Partial</x:v>
      </x:c>
      <x:c r="E110" s="17" t="str">
        <x:v>Coworker creation and welcome exist; setup remains fragmented.</x:v>
      </x:c>
      <x:c r="F110" s="17" t="str">
        <x:v>Observed: bot-first chat entry [G1]</x:v>
      </x:c>
      <x:c r="G110" s="17" t="str">
        <x:v>Observed: new chat/project entry [C0]</x:v>
      </x:c>
      <x:c r="H110" s="17" t="str">
        <x:v>Documented: environment, folder, model, mode setup [D1]</x:v>
      </x:c>
      <x:c r="I110" s="17" t="str">
        <x:v>Guide user from provider/connection readiness to first useful read-only investigation.</x:v>
      </x:c>
      <x:c r="J110" s="17" t="str">
        <x:v>P1</x:v>
      </x:c>
      <x:c r="K110" s="17" t="str">
        <x:v>3 Trusted work</x:v>
      </x:c>
      <x:c r="L110" s="17" t="str">
        <x:v>Provider and connection state</x:v>
      </x:c>
      <x:c r="M110" s="17" t="str">
        <x:v>A new user understands required setup, selected device and next safe action.</x:v>
      </x:c>
      <x:c r="N110" s="10" t="str">
        <x:v>Not started</x:v>
      </x:c>
      <x:c r="O110" s="10" t="str">
        <x:v>Proposed</x:v>
      </x:c>
      <x:c r="P110" s="17" t="str">
        <x:v>A0; polished.js initialization; polished.css:45-64,116-143,325-329; polished.js:19-58,437-449</x:v>
      </x:c>
      <x:c r="Q110" s="17" t="str">
        <x:v>Partial</x:v>
      </x:c>
      <x:c r="R110" s="17" t="str">
        <x:v>No fresh acceptance run in this milestone; inherited dated effective evidence.</x:v>
      </x:c>
      <x:c r="S110" s="17" t="str">
        <x:v>Provider/device readiness and selected device are not part of onboarding. Windows behavior, owner UI approval and live provider/device acceptance are not established by this milestone.</x:v>
      </x:c>
      <x:c r="T110" s="1"/>
    </x:row>
    <x:row r="111" ht="177" customHeight="1">
      <x:c r="A111" s="18" t="str">
        <x:v>UX-101</x:v>
      </x:c>
      <x:c r="B111" s="19" t="str">
        <x:v>Quality</x:v>
      </x:c>
      <x:c r="C111" s="19" t="str">
        <x:v>Saved state and migration integrity</x:v>
      </x:c>
      <x:c r="D111" s="19" t="str">
        <x:v>Partial</x:v>
      </x:c>
      <x:c r="E111" s="19" t="str">
        <x:v>Versioned migration and backup exist; production storage reliability remains limited.</x:v>
      </x:c>
      <x:c r="F111" s="19" t="str">
        <x:v>Unverified</x:v>
      </x:c>
      <x:c r="G111" s="19" t="str">
        <x:v>Unverified</x:v>
      </x:c>
      <x:c r="H111" s="19" t="str">
        <x:v>Unverified</x:v>
      </x:c>
      <x:c r="I111" s="19" t="str">
        <x:v>Keep explicit schema versions and recoverable migrations.</x:v>
      </x:c>
      <x:c r="J111" s="19" t="str">
        <x:v>P1</x:v>
      </x:c>
      <x:c r="K111" s="19" t="str">
        <x:v>Keep</x:v>
      </x:c>
      <x:c r="L111" s="19" t="str">
        <x:v>Migration regression</x:v>
      </x:c>
      <x:c r="M111" s="19" t="str">
        <x:v>Chats, drafts, queued work, avatars and revert history survive migration exactly.</x:v>
      </x:c>
      <x:c r="N111" s="10" t="str">
        <x:v>Verified</x:v>
      </x:c>
      <x:c r="O111" s="10" t="str">
        <x:v>Preserve</x:v>
      </x:c>
      <x:c r="P111" s="19" t="str">
        <x:v>2026-09-16: preservation audit PASS. .intentgraph/runtime/verify-backup-schema.cjs:4-28 (current six backup/transaction/size tests); .intentgraph/evidence/ux-fixes-2026-09-15/local-data-ui.json (roundtrip/Add/replace/reload); .intentgraph/evidence/ux-fixes-2026-09-15/history-regression.json (revert/avatar/history) Owner acceptance remains separate.</x:v>
      </x:c>
      <x:c r="Q111" s="19" t="str">
        <x:v>Partial</x:v>
      </x:c>
      <x:c r="R111" s="19" t="str">
        <x:v>No fresh acceptance run in this milestone; inherited dated effective evidence.</x:v>
      </x:c>
      <x:c r="S111" s="19" t="str">
        <x:v>It did not prove exact migration preservation of all chats, drafts, queues, avatars and revert history. Windows behavior, owner UI approval and live provider/device acceptance are not established by this milestone.</x:v>
      </x:c>
      <x:c r="T111" s="1"/>
    </x:row>
    <x:row r="112" ht="87" customHeight="1">
      <x:c r="A112" s="16" t="str">
        <x:v>UX-102</x:v>
      </x:c>
      <x:c r="B112" s="17" t="str">
        <x:v>Quality</x:v>
      </x:c>
      <x:c r="C112" s="17" t="str">
        <x:v>Release identity and diagnostics</x:v>
      </x:c>
      <x:c r="D112" s="17" t="str">
        <x:v>Present</x:v>
      </x:c>
      <x:c r="E112" s="17" t="str">
        <x:v>About identifies the loaded build and offers a user-triggered local configuration snapshot and safe support copy. Unverified reachability is explicit.</x:v>
      </x:c>
      <x:c r="F112" s="17" t="str">
        <x:v>Unverified</x:v>
      </x:c>
      <x:c r="G112" s="17" t="str">
        <x:v>Unverified</x:v>
      </x:c>
      <x:c r="H112" s="17" t="str">
        <x:v>Unverified</x:v>
      </x:c>
      <x:c r="I112" s="17" t="str">
        <x:v>Expose build version, connection status and safe diagnostics export.</x:v>
      </x:c>
      <x:c r="J112" s="17" t="str">
        <x:v>P2</x:v>
      </x:c>
      <x:c r="K112" s="17" t="str">
        <x:v>3 Trusted work</x:v>
      </x:c>
      <x:c r="L112" s="17" t="str">
        <x:v>Connection diagnostics must read the current backend/provider state without exposing credentials.</x:v>
      </x:c>
      <x:c r="M112" s="17" t="str">
        <x:v>Support report identifies exact build and contains no provider keys.</x:v>
      </x:c>
      <x:c r="N112" s="10" t="str">
        <x:v>Verified</x:v>
      </x:c>
      <x:c r="O112" s="10" t="str">
        <x:v>Proposed</x:v>
      </x:c>
      <x:c r="P112" s="17" t="str">
        <x:v>2026-09-16: diagnostics-ui.json; verify-chat-read-api.cjs. Isolated tests passed; no live provider/device call. Owner acceptance pending.</x:v>
      </x:c>
      <x:c r="Q112" s="17" t="str">
        <x:v>Verified (scoped)</x:v>
      </x:c>
      <x:c r="R112" s="17" t="str">
        <x:v>No fresh acceptance run in this milestone; inherited dated effective evidence.</x:v>
      </x:c>
      <x:c r="S112" s="17" t="str">
        <x:v>Local status fixtures and served build identity only; no live provider/device reachability claim. Windows behavior, owner UI approval and live provider/device acceptance are not established by this milestone.</x:v>
      </x:c>
      <x:c r="T112" s="1"/>
    </x:row>
    <x:row r="113" ht="117" customHeight="1">
      <x:c r="A113" s="18" t="str">
        <x:v>UX-103</x:v>
      </x:c>
      <x:c r="B113" s="19" t="str">
        <x:v>Quality</x:v>
      </x:c>
      <x:c r="C113" s="19" t="str">
        <x:v>Consistent terminology and icon system</x:v>
      </x:c>
      <x:c r="D113" s="19" t="str">
        <x:v>Present</x:v>
      </x:c>
      <x:c r="E113" s="19" t="str">
        <x:v>Coworker, Conversation and Evidence labels aligned across navigation, profile, Settings and composer; storage schema retained.</x:v>
      </x:c>
      <x:c r="F113" s="19" t="str">
        <x:v>Observed: bot identity consistent in inspected flow [G1]</x:v>
      </x:c>
      <x:c r="G113" s="19" t="str">
        <x:v>Observed: task/project labels [C0]</x:v>
      </x:c>
      <x:c r="H113" s="19" t="str">
        <x:v>Documented: session/environment labels [D1]</x:v>
      </x:c>
      <x:c r="I113" s="19" t="str">
        <x:v>Use Coworker, Conversation and Evidence consistently for network users.</x:v>
      </x:c>
      <x:c r="J113" s="19" t="str">
        <x:v>P1</x:v>
      </x:c>
      <x:c r="K113" s="19" t="str">
        <x:v>2 Chat</x:v>
      </x:c>
      <x:c r="L113" s="19" t="str">
        <x:v>UX-007</x:v>
      </x:c>
      <x:c r="M113" s="19" t="str">
        <x:v>Same object keeps same name across sidebar, profile, Settings and composer.</x:v>
      </x:c>
      <x:c r="N113" s="10" t="str">
        <x:v>Verified</x:v>
      </x:c>
      <x:c r="O113" s="10" t="str">
        <x:v>Agreed</x:v>
      </x:c>
      <x:c r="P113" s="19" t="str">
        <x:v>2026-09-15: .intentgraph/evidence/ux-fixes-2026-09-15/{root-review.json,history-regression.json,reaction-recovery.json}; isolated browser checks exit 0. No provider/device calls; no physical-device or owner acceptance.</x:v>
      </x:c>
      <x:c r="Q113" s="19" t="str">
        <x:v>Partial</x:v>
      </x:c>
      <x:c r="R113" s="19" t="str">
        <x:v>No fresh acceptance run in this milestone; inherited dated effective evidence.</x:v>
      </x:c>
      <x:c r="S113" s="19" t="str">
        <x:v>The known rename inconsistency is resolved; complete terminology and icon acceptance is not yet verified. Windows behavior, owner UI approval and live provider/device acceptance are not established by this milestone.</x:v>
      </x:c>
      <x:c r="T113" s="1"/>
    </x:row>
    <x:row r="114" ht="42" customHeight="1">
      <x:c r="A114" s="16" t="str">
        <x:v>UX-104</x:v>
      </x:c>
      <x:c r="B114" s="17" t="str">
        <x:v>Quality</x:v>
      </x:c>
      <x:c r="C114" s="17" t="str">
        <x:v>Multiple customer isolation UX</x:v>
      </x:c>
      <x:c r="D114" s="17" t="str">
        <x:v>Missing</x:v>
      </x:c>
      <x:c r="E114" s="17" t="str">
        <x:v>No authenticated customer workspaces or access control service.</x:v>
      </x:c>
      <x:c r="F114" s="17" t="str">
        <x:v>Unverified</x:v>
      </x:c>
      <x:c r="G114" s="17" t="str">
        <x:v>Unverified</x:v>
      </x:c>
      <x:c r="H114" s="17" t="str">
        <x:v>Unverified</x:v>
      </x:c>
      <x:c r="I114" s="17" t="str">
        <x:v>Treat as later product architecture; never imply current shared-team security.</x:v>
      </x:c>
      <x:c r="J114" s="17" t="str">
        <x:v>P1</x:v>
      </x:c>
      <x:c r="K114" s="17" t="str">
        <x:v>4 Extend</x:v>
      </x:c>
      <x:c r="L114" s="17" t="str">
        <x:v>2026-09-16 user decision: keep cross-device history, accounts/customer isolation and remote handoff pending; finish local features first.</x:v>
      </x:c>
      <x:c r="M114" s="17" t="str">
        <x:v>Wrong-customer data is inaccessible; workspace/access context is explicit.</x:v>
      </x:c>
      <x:c r="N114" s="10" t="str">
        <x:v>Deferred</x:v>
      </x:c>
      <x:c r="O114" s="10" t="str">
        <x:v>Proposed</x:v>
      </x:c>
      <x:c r="P114" s="17" t="str">
        <x:v>architecture.json; polished.css:45-64,116-143,325-329; polished.js:19-58,437-449</x:v>
      </x:c>
      <x:c r="Q114" s="17" t="str">
        <x:v>Deferred</x:v>
      </x:c>
      <x:c r="R114" s="17" t="str">
        <x:v>No fresh acceptance run in this milestone; inherited dated effective evidence.</x:v>
      </x:c>
      <x:c r="S114" s="17" t="str">
        <x:v>Deferred by user decision. Windows behavior, owner UI approval and live provider/device acceptance are not established by this milestone.</x:v>
      </x:c>
      <x:c r="T114" s="1"/>
    </x:row>
    <x:row r="115" ht="48" customHeight="1">
      <x:c r="A115" s="18" t="str">
        <x:v>UX-105</x:v>
      </x:c>
      <x:c r="B115" s="19" t="str">
        <x:v>Quality</x:v>
      </x:c>
      <x:c r="C115" s="19" t="str">
        <x:v>Professional finish acceptance</x:v>
      </x:c>
      <x:c r="D115" s="19" t="str">
        <x:v>Not verified</x:v>
      </x:c>
      <x:c r="E115" s="19" t="str">
        <x:v>Automated checks previously passed; owner rejected specific UI decisions.</x:v>
      </x:c>
      <x:c r="F115" s="19" t="str">
        <x:v>Unverified</x:v>
      </x:c>
      <x:c r="G115" s="19" t="str">
        <x:v>Unverified</x:v>
      </x:c>
      <x:c r="H115" s="19" t="str">
        <x:v>Unverified</x:v>
      </x:c>
      <x:c r="I115" s="19" t="str">
        <x:v>Verify agreed reference behaviors and complete flows before marking accepted.</x:v>
      </x:c>
      <x:c r="J115" s="19" t="str">
        <x:v>P1</x:v>
      </x:c>
      <x:c r="K115" s="19" t="str">
        <x:v>2 Chat</x:v>
      </x:c>
      <x:c r="L115" s="19" t="str">
        <x:v>All phase 1 corrections</x:v>
      </x:c>
      <x:c r="M115" s="19" t="str">
        <x:v>Code check, rendered behavior and owner acceptance have separate recorded outcomes.</x:v>
      </x:c>
      <x:c r="N115" s="10" t="str">
        <x:v>Not started</x:v>
      </x:c>
      <x:c r="O115" s="10" t="str">
        <x:v>Investigate</x:v>
      </x:c>
      <x:c r="P115" s="19" t="str">
        <x:v>User feedback; current audit; polished.css:45-64,116-143,325-329; polished.js:19-58,437-449</x:v>
      </x:c>
      <x:c r="Q115" s="19" t="str">
        <x:v>Unverified</x:v>
      </x:c>
      <x:c r="R115" s="19" t="str">
        <x:v>No fresh acceptance run in this milestone; inherited dated effective evidence.</x:v>
      </x:c>
      <x:c r="S115" s="19" t="str">
        <x:v>Owner acceptance unavailable. Windows behavior, owner UI approval and live provider/device acceptance are not established by this milestone.</x:v>
      </x:c>
      <x:c r="T115" s="1"/>
    </x:row>
    <x:row r="116" ht="132" customHeight="1">
      <x:c r="A116" s="20" t="str">
        <x:v>UX-106</x:v>
      </x:c>
      <x:c r="B116" s="21" t="str">
        <x:v>Network</x:v>
      </x:c>
      <x:c r="C116" s="21" t="str">
        <x:v>Live inventory and read-only diagnostics</x:v>
      </x:c>
      <x:c r="D116" s="21" t="str">
        <x:v>Present</x:v>
      </x:c>
      <x:c r="E116" s="21" t="str">
        <x:v>Real inventory and allowlisted exact-host diagnostic path exist.</x:v>
      </x:c>
      <x:c r="F116" s="21" t="str">
        <x:v>Unverified</x:v>
      </x:c>
      <x:c r="G116" s="21" t="str">
        <x:v>Unverified</x:v>
      </x:c>
      <x:c r="H116" s="21" t="str">
        <x:v>Unverified</x:v>
      </x:c>
      <x:c r="I116" s="21" t="str">
        <x:v>Keep exact target resolution and bounded output visible.</x:v>
      </x:c>
      <x:c r="J116" s="21" t="str">
        <x:v>P1</x:v>
      </x:c>
      <x:c r="K116" s="21" t="str">
        <x:v>Keep</x:v>
      </x:c>
      <x:c r="L116" s="21" t="str">
        <x:v>Adapter regression</x:v>
      </x:c>
      <x:c r="M116" s="21" t="str">
        <x:v>Only supported read-only commands execute; failed transport cannot be shown as healthy.</x:v>
      </x:c>
      <x:c r="N116" s="13" t="str">
        <x:v>Verified</x:v>
      </x:c>
      <x:c r="O116" s="13" t="str">
        <x:v>Preserve</x:v>
      </x:c>
      <x:c r="P116" s="21" t="str">
        <x:v>2026-09-16: preservation audit PASS. 25/25 local fixture tests passed: agent-runtime/chat-runtime/network-execution/sandbox-routes/steering suites (allowlist, exact target, failed transport, read-only origin/header); no provider/device calls Owner acceptance remains separate.</x:v>
      </x:c>
      <x:c r="Q116" s="21" t="str">
        <x:v>Verified (scoped)</x:v>
      </x:c>
      <x:c r="R116" s="21" t="str">
        <x:v>No fresh acceptance run in this milestone; inherited dated effective evidence.</x:v>
      </x:c>
      <x:c r="S116" s="21" t="str">
        <x:v>Local fixtures only; no provider/device calls. Windows behavior, owner UI approval and live provider/device acceptance are not established by this milestone.</x:v>
      </x:c>
      <x:c r="T116" s="1"/>
    </x:row>
    <x:row r="117" ht="87" customHeight="1">
      <x:c r="A117" s="18" t="str">
        <x:v>UX-107</x:v>
      </x:c>
      <x:c r="B117" s="19" t="str">
        <x:v>Network</x:v>
      </x:c>
      <x:c r="C117" s="19" t="str">
        <x:v>Remote command cancellation limits</x:v>
      </x:c>
      <x:c r="D117" s="19" t="str">
        <x:v>Present</x:v>
      </x:c>
      <x:c r="E117" s="19" t="str">
        <x:v>Cancellation stops local fetch and propagates to the server; already submitted remote work is explicitly UNKNOWN, with retained evidence and no automatic duplicate retry.</x:v>
      </x:c>
      <x:c r="F117" s="19" t="str">
        <x:v>Unverified</x:v>
      </x:c>
      <x:c r="G117" s="19" t="str">
        <x:v>Unverified</x:v>
      </x:c>
      <x:c r="H117" s="19" t="str">
        <x:v>Unverified</x:v>
      </x:c>
      <x:c r="I117" s="19" t="str">
        <x:v>Explain that stopping the UI may leave remote work outcome unknown.</x:v>
      </x:c>
      <x:c r="J117" s="19" t="str">
        <x:v>P1</x:v>
      </x:c>
      <x:c r="K117" s="19" t="str">
        <x:v>3 Trusted work</x:v>
      </x:c>
      <x:c r="L117" s="19" t="str">
        <x:v>Transport cancellation support</x:v>
      </x:c>
      <x:c r="M117" s="19" t="str">
        <x:v>Stop records UNKNOWN when remote completion cannot be established; no automatic duplicate retry.</x:v>
      </x:c>
      <x:c r="N117" s="10" t="str">
        <x:v>Verified</x:v>
      </x:c>
      <x:c r="O117" s="10" t="str">
        <x:v>Proposed</x:v>
      </x:c>
      <x:c r="P117" s="19" t="str">
        <x:v>2026-09-16: verify-queue-terminal.cjs 4/4; run-durability.json. Isolated tests passed; no live provider/device call. Owner acceptance pending.</x:v>
      </x:c>
      <x:c r="Q117" s="19" t="str">
        <x:v>Partial</x:v>
      </x:c>
      <x:c r="R117" s="19" t="str">
        <x:v>Cancellation and dead-owner recovery remain UNKNOWN; replay and recovery cause no duplicate fixture responder invocation. No claim of stopping a remote device command. Evidence: docs/evidence/admission-2026-09-19/verification.json; browser-checks.json.</x:v>
      </x:c>
      <x:c r="S117" s="19" t="str">
        <x:v>Stop UX and duplicate-retry prevention were not freshly exercised; no provider/device calls. Windows behavior, owner UI approval and live provider/device acceptance are not established by this milestone.</x:v>
      </x:c>
      <x:c r="T117" s="1"/>
    </x:row>
    <x:row r="118" ht="87" customHeight="1">
      <x:c r="A118" s="20" t="str">
        <x:v>UX-108</x:v>
      </x:c>
      <x:c r="B118" s="21" t="str">
        <x:v>History</x:v>
      </x:c>
      <x:c r="C118" s="21" t="str">
        <x:v>Context truncation disclosure</x:v>
      </x:c>
      <x:c r="D118" s="21" t="str">
        <x:v>Present</x:v>
      </x:c>
      <x:c r="E118" s="21" t="str">
        <x:v>Context preview uses the request helper: latest 24 stored messages, 32,000 characters, and visible omission count. Local welcomes and notes excluded.</x:v>
      </x:c>
      <x:c r="F118" s="21" t="str">
        <x:v>Unverified</x:v>
      </x:c>
      <x:c r="G118" s="21" t="str">
        <x:v>Unverified</x:v>
      </x:c>
      <x:c r="H118" s="21" t="str">
        <x:v>Documented: context usage [D1]</x:v>
      </x:c>
      <x:c r="I118" s="21" t="str">
        <x:v>Show retained context and offer a reviewed summary for long investigations.</x:v>
      </x:c>
      <x:c r="J118" s="21" t="str">
        <x:v>P1</x:v>
      </x:c>
      <x:c r="K118" s="21" t="str">
        <x:v>3 Trusted work</x:v>
      </x:c>
      <x:c r="L118" s="21" t="str">
        <x:v>Runtime context contract</x:v>
      </x:c>
      <x:c r="M118" s="21" t="str">
        <x:v>User can tell when older messages are omitted; raw historical evidence stays available.</x:v>
      </x:c>
      <x:c r="N118" s="13" t="str">
        <x:v>Verified</x:v>
      </x:c>
      <x:c r="O118" s="13" t="str">
        <x:v>Proposed</x:v>
      </x:c>
      <x:c r="P118" s="21" t="str">
        <x:v>2026-09-15: .intentgraph/evidence/ux-fixes-2026-09-15/chat-interactions.json; verify-chat-interactions.cjs exit 0. Mocked requests; owner acceptance pending.</x:v>
      </x:c>
      <x:c r="Q118" s="21" t="str">
        <x:v>Partial</x:v>
      </x:c>
      <x:c r="R118" s="21" t="str">
        <x:v>No fresh acceptance run in this milestone; inherited dated effective evidence.</x:v>
      </x:c>
      <x:c r="S118" s="21" t="str">
        <x:v>A fresh over-limit request/omission-count comparison was not completed. Windows behavior, owner UI approval and live provider/device acceptance are not established by this milestone.</x:v>
      </x:c>
      <x:c r="T118" s="1"/>
    </x:row>
    <x:row r="119" ht="117" customHeight="1">
      <x:c r="A119" s="14" t="str">
        <x:v>UX-109</x:v>
      </x:c>
      <x:c r="B119" s="15" t="str">
        <x:v>Coworkers</x:v>
      </x:c>
      <x:c r="C119" s="15" t="str">
        <x:v>Local notes versus model memory</x:v>
      </x:c>
      <x:c r="D119" s="15" t="str">
        <x:v>Present</x:v>
      </x:c>
      <x:c r="E119" s="15" t="str">
        <x:v>Profile and document editor disclose local-only notes. Saving works; mocked request evidence confirms notes are not sent to the model.</x:v>
      </x:c>
      <x:c r="F119" s="15" t="str">
        <x:v>Unverified</x:v>
      </x:c>
      <x:c r="G119" s="15" t="str">
        <x:v>Documented: agent instructions [C6]</x:v>
      </x:c>
      <x:c r="H119" s="15" t="str">
        <x:v>Documented: shared configuration [D1]</x:v>
      </x:c>
      <x:c r="I119" s="15" t="str">
        <x:v>Label local-only notes now; connect them only with clear review and scope.</x:v>
      </x:c>
      <x:c r="J119" s="15" t="str">
        <x:v>P1</x:v>
      </x:c>
      <x:c r="K119" s="15" t="str">
        <x:v>2 Chat</x:v>
      </x:c>
      <x:c r="L119" s="15" t="str">
        <x:v>Document/runtime context contract</x:v>
      </x:c>
      <x:c r="M119" s="15" t="str">
        <x:v>Editing local note never implies the next model response used it unless request evidence proves inclusion.</x:v>
      </x:c>
      <x:c r="N119" s="13" t="str">
        <x:v>Verified</x:v>
      </x:c>
      <x:c r="O119" s="13" t="str">
        <x:v>Agreed</x:v>
      </x:c>
      <x:c r="P119" s="15" t="str">
        <x:v>2026-09-15: .intentgraph/evidence/ux-fixes-2026-09-15/{root-review.json,history-regression.json,reaction-recovery.json}; isolated browser checks exit 0. No provider/device calls; no physical-device or owner acceptance.</x:v>
      </x:c>
      <x:c r="Q119" s="15" t="str">
        <x:v>Partial</x:v>
      </x:c>
      <x:c r="R119" s="15" t="str">
        <x:v>No fresh acceptance run in this milestone; inherited dated effective evidence.</x:v>
      </x:c>
      <x:c r="S119" s="15" t="str">
        <x:v>This audit did not save a note and inspect the next model request to verify exclusion. Windows behavior, owner UI approval and live provider/device acceptance are not established by this milestone.</x:v>
      </x:c>
      <x:c r="T119" s="1"/>
    </x:row>
    <x:row r="120" ht="87" customHeight="1">
      <x:c r="A120" s="20" t="str">
        <x:v>UX-110</x:v>
      </x:c>
      <x:c r="B120" s="21" t="str">
        <x:v>Messages</x:v>
      </x:c>
      <x:c r="C120" s="21" t="str">
        <x:v>Safe links and inline media</x:v>
      </x:c>
      <x:c r="D120" s="21" t="str">
        <x:v>Partial</x:v>
      </x:c>
      <x:c r="E120" s="21" t="str">
        <x:v>HTTP(S) links use safe new-window/referrer attributes. Unsafe schemes and HTML are inert. Image references are explicit links; inline media and attachment reading remain pending.</x:v>
      </x:c>
      <x:c r="F120" s="21" t="str">
        <x:v>Unverified</x:v>
      </x:c>
      <x:c r="G120" s="21" t="str">
        <x:v>Documented: image/file outputs [C1]</x:v>
      </x:c>
      <x:c r="H120" s="21" t="str">
        <x:v>Documented: file previews [D1]</x:v>
      </x:c>
      <x:c r="I120" s="21" t="str">
        <x:v>Add safe links and supported media without executing untrusted content.</x:v>
      </x:c>
      <x:c r="J120" s="21" t="str">
        <x:v>P2</x:v>
      </x:c>
      <x:c r="K120" s="21" t="str">
        <x:v>2 Chat</x:v>
      </x:c>
      <x:c r="L120" s="21" t="str">
        <x:v>Inline media needs explicit loading policy; attachment contents need a validated backend contract.</x:v>
      </x:c>
      <x:c r="M120" s="21" t="str">
        <x:v>Links open correct source; unsupported media remains a labeled file; raw CLI remains unchanged.</x:v>
      </x:c>
      <x:c r="N120" s="13" t="str">
        <x:v>Implemented</x:v>
      </x:c>
      <x:c r="O120" s="13" t="str">
        <x:v>Proposed</x:v>
      </x:c>
      <x:c r="P120" s="21" t="str">
        <x:v>2026-09-15: edit-rendering.json and verify-edit-rendering.cjs exit 0 validate safe-link slice only. Full media acceptance remains pending.</x:v>
      </x:c>
      <x:c r="Q120" s="21" t="str">
        <x:v>Partial</x:v>
      </x:c>
      <x:c r="R120" s="21" t="str">
        <x:v>No fresh acceptance run in this milestone; inherited dated effective evidence.</x:v>
      </x:c>
      <x:c r="S120" s="21" t="str">
        <x:v>Inline media and attachment reading remain pending. Windows behavior, owner UI approval and live provider/device acceptance are not established by this milestone.</x:v>
      </x:c>
      <x:c r="T120" s="1"/>
    </x:row>
    <x:row r="121" ht="102" customHeight="1">
      <x:c r="A121" s="14" t="str">
        <x:v>UX-111</x:v>
      </x:c>
      <x:c r="B121" s="15" t="str">
        <x:v>Navigation</x:v>
      </x:c>
      <x:c r="C121" s="15" t="str">
        <x:v>Mark read or unread</x:v>
      </x:c>
      <x:c r="D121" s="15" t="str">
        <x:v>Present</x:v>
      </x:c>
      <x:c r="E121" s="15" t="str">
        <x:v>Local unread and conversation actions exist.</x:v>
      </x:c>
      <x:c r="F121" s="15" t="str">
        <x:v>Observed: unread dot and NEW separator [G1]</x:v>
      </x:c>
      <x:c r="G121" s="15" t="str">
        <x:v>Documented: mark chat unread [C4]</x:v>
      </x:c>
      <x:c r="H121" s="15" t="str">
        <x:v>Unverified</x:v>
      </x:c>
      <x:c r="I121" s="15" t="str">
        <x:v>Keep manual unread state separate from active execution state.</x:v>
      </x:c>
      <x:c r="J121" s="15" t="str">
        <x:v>P2</x:v>
      </x:c>
      <x:c r="K121" s="15" t="str">
        <x:v>Keep</x:v>
      </x:c>
      <x:c r="L121" s="15" t="str">
        <x:v>Unread persistence check</x:v>
      </x:c>
      <x:c r="M121" s="15" t="str">
        <x:v>Unread state persists correctly; opening a conversation never cancels work.</x:v>
      </x:c>
      <x:c r="N121" s="13" t="str">
        <x:v>Verified</x:v>
      </x:c>
      <x:c r="O121" s="13" t="str">
        <x:v>Preserve</x:v>
      </x:c>
      <x:c r="P121" s="15" t="str">
        <x:v>2026-09-16: preservation audit PASS. .intentgraph/evidence/pending-88-20260916/preserved-audit.json (beforeOpen=true, afterOpen=false; no request path) Owner acceptance remains separate.</x:v>
      </x:c>
      <x:c r="Q121" s="15" t="str">
        <x:v>Verified (scoped)</x:v>
      </x:c>
      <x:c r="R121" s="15" t="str">
        <x:v>No fresh acceptance run in this milestone; inherited dated effective evidence.</x:v>
      </x:c>
      <x:c r="S121" s="15" t="str">
        <x:v>All exercised browser-local unread/reload/open and held local-run switching checks pass; provider execution and assistive-technology coverage remain outside this review. Windows behavior, owner UI approval and live provider/device acceptance are not established by this milestone.</x:v>
      </x:c>
      <x:c r="T121" s="1"/>
    </x:row>
    <x:row r="122" ht="72" customHeight="1">
      <x:c r="A122" s="20" t="str">
        <x:v>UX-112</x:v>
      </x:c>
      <x:c r="B122" s="21" t="str">
        <x:v>Settings</x:v>
      </x:c>
      <x:c r="C122" s="21" t="str">
        <x:v>Language support disclosure</x:v>
      </x:c>
      <x:c r="D122" s="21" t="str">
        <x:v>Present</x:v>
      </x:c>
      <x:c r="E122" s="21" t="str">
        <x:v>The language selector explicitly identifies English as the system fallback; unsupported translations cannot appear selected or applied.</x:v>
      </x:c>
      <x:c r="F122" s="21" t="str">
        <x:v>Unverified</x:v>
      </x:c>
      <x:c r="G122" s="21" t="str">
        <x:v>Unverified</x:v>
      </x:c>
      <x:c r="H122" s="21" t="str">
        <x:v>Unverified</x:v>
      </x:c>
      <x:c r="I122" s="21" t="str">
        <x:v>Keep unsupported locales disabled; translate complete workflows only when supported.</x:v>
      </x:c>
      <x:c r="J122" s="21" t="str">
        <x:v>P3</x:v>
      </x:c>
      <x:c r="K122" s="21" t="str">
        <x:v>4 Extend</x:v>
      </x:c>
      <x:c r="L122" s="21" t="str">
        <x:v>Localization and text expansion</x:v>
      </x:c>
      <x:c r="M122" s="21" t="str">
        <x:v>Language choice never appears applied while labels remain unchanged.</x:v>
      </x:c>
      <x:c r="N122" s="13" t="str">
        <x:v>Verified</x:v>
      </x:c>
      <x:c r="O122" s="13" t="str">
        <x:v>Proposed</x:v>
      </x:c>
      <x:c r="P122" s="21" t="str">
        <x:v>2026-09-16: diagnostics-ui.json. Isolated tests passed; no live provider/device call. Owner acceptance pending.</x:v>
      </x:c>
      <x:c r="Q122" s="21" t="str">
        <x:v>Verified (scoped)</x:v>
      </x:c>
      <x:c r="R122" s="21" t="str">
        <x:v>No fresh acceptance run in this milestone; inherited dated effective evidence.</x:v>
      </x:c>
      <x:c r="S122" s="21" t="str">
        <x:v>English fallback and disabled unsupported-language disclosure pass; additional translation coverage remains outside this review. Windows behavior, owner UI approval and live provider/device acceptance are not established by this milestone.</x:v>
      </x:c>
      <x:c r="T122" s="1"/>
    </x:row>
    <x:row r="123" ht="87" customHeight="1">
      <x:c r="A123" s="14" t="str">
        <x:v>UX-113</x:v>
      </x:c>
      <x:c r="B123" s="15" t="str">
        <x:v>Execution</x:v>
      </x:c>
      <x:c r="C123" s="15" t="str">
        <x:v>Serial capacity feedback</x:v>
      </x:c>
      <x:c r="D123" s="15" t="str">
        <x:v>Present</x:v>
      </x:c>
      <x:c r="E123" s="15" t="str">
        <x:v>Serial capacity feedback identifies the active coworker and offers navigation to the active conversation while preserving independent drafts and FIFO queue behavior.</x:v>
      </x:c>
      <x:c r="F123" s="15" t="str">
        <x:v>Unverified</x:v>
      </x:c>
      <x:c r="G123" s="15" t="str">
        <x:v>Observed: parallel task indicators [C0]</x:v>
      </x:c>
      <x:c r="H123" s="15" t="str">
        <x:v>Documented: parallel sessions [D1]</x:v>
      </x:c>
      <x:c r="I123" s="15" t="str">
        <x:v>Explain when another conversation occupies runtime and where queued work will run.</x:v>
      </x:c>
      <x:c r="J123" s="15" t="str">
        <x:v>P1</x:v>
      </x:c>
      <x:c r="K123" s="15" t="str">
        <x:v>3 Trusted work</x:v>
      </x:c>
      <x:c r="L123" s="15" t="str">
        <x:v>Global busy state and queue ownership</x:v>
      </x:c>
      <x:c r="M123" s="15" t="str">
        <x:v>Second conversation shows why it waits and identifies active work without losing its draft.</x:v>
      </x:c>
      <x:c r="N123" s="13" t="str">
        <x:v>Verified</x:v>
      </x:c>
      <x:c r="O123" s="13" t="str">
        <x:v>Proposed</x:v>
      </x:c>
      <x:c r="P123" s="15" t="str">
        <x:v>2026-09-16: alerts.json; verify-queue-terminal.cjs 4/4. Isolated tests passed; no live provider/device call. Owner acceptance pending.</x:v>
      </x:c>
      <x:c r="Q123" s="15" t="str">
        <x:v>Partial</x:v>
      </x:c>
      <x:c r="R123" s="15" t="str">
        <x:v>Active API enforces serial capacity; current browser waiting/draft fixture and queue checks supplement prior evidence. Evidence: docs/evidence/admission-2026-09-19/verification.json; browser-checks.json.</x:v>
      </x:c>
      <x:c r="S123" s="15" t="str">
        <x:v>Full serial multi-conversation queue UI was not exercised in this bounded run. Windows behavior, owner UI approval and live provider/device acceptance are not established by this milestone.</x:v>
      </x:c>
      <x:c r="T123" s="1"/>
    </x:row>
    <x:row r="124" ht="42" customHeight="1">
      <x:c r="A124" s="20" t="str">
        <x:v>UX-114</x:v>
      </x:c>
      <x:c r="B124" s="21" t="str">
        <x:v>Outputs</x:v>
      </x:c>
      <x:c r="C124" s="21" t="str">
        <x:v>Existing approval tooling integration</x:v>
      </x:c>
      <x:c r="D124" s="21" t="str">
        <x:v>Partial</x:v>
      </x:c>
      <x:c r="E124" s="21" t="str">
        <x:v>IntentGraph has preview/approve/execute surfaces separate from Aven.</x:v>
      </x:c>
      <x:c r="F124" s="21" t="str">
        <x:v>Unverified</x:v>
      </x:c>
      <x:c r="G124" s="21" t="str">
        <x:v>Documented: review panel [C3]</x:v>
      </x:c>
      <x:c r="H124" s="21" t="str">
        <x:v>Documented: diff/permission controls [D1]</x:v>
      </x:c>
      <x:c r="I124" s="21" t="str">
        <x:v>Reuse proven backing contracts; design Aven-facing review without exposing engineering internals.</x:v>
      </x:c>
      <x:c r="J124" s="21" t="str">
        <x:v>P1</x:v>
      </x:c>
      <x:c r="K124" s="21" t="str">
        <x:v>3 Trusted work</x:v>
      </x:c>
      <x:c r="L124" s="21" t="str">
        <x:v>IntentGraph execution-service integration</x:v>
      </x:c>
      <x:c r="M124" s="21" t="str">
        <x:v>Aven preview and executed action share the same digest, scope and one-time approval.</x:v>
      </x:c>
      <x:c r="N124" s="13" t="str">
        <x:v>Not started</x:v>
      </x:c>
      <x:c r="O124" s="13" t="str">
        <x:v>Proposed</x:v>
      </x:c>
      <x:c r="P124" s="21" t="str">
        <x:v>intentgraph/ui/index.html:7-8; adapters/index.cjs:462-503,570-598</x:v>
      </x:c>
      <x:c r="Q124" s="21" t="str">
        <x:v>Missing</x:v>
      </x:c>
      <x:c r="R124" s="21" t="str">
        <x:v>No fresh acceptance run in this milestone; inherited dated effective evidence.</x:v>
      </x:c>
      <x:c r="S124" s="21" t="str">
        <x:v>Local fixtures only; no provider/device calls. Windows behavior, owner UI approval and live provider/device acceptance are not established by this milestone.</x:v>
      </x:c>
      <x:c r="T124" s="1"/>
    </x:row>
    <x:row r="125" ht="132" customHeight="1">
      <x:c r="A125" s="14" t="str">
        <x:v>UX-115</x:v>
      </x:c>
      <x:c r="B125" s="15" t="str">
        <x:v>History</x:v>
      </x:c>
      <x:c r="C125" s="15" t="str">
        <x:v>Durable raw run records</x:v>
      </x:c>
      <x:c r="D125" s="15" t="str">
        <x:v>Present</x:v>
      </x:c>
      <x:c r="E125" s="15" t="str">
        <x:v>Backend writes run evidence files even though model checkpoints are in memory.</x:v>
      </x:c>
      <x:c r="F125" s="15" t="str">
        <x:v>Unverified</x:v>
      </x:c>
      <x:c r="G125" s="15" t="str">
        <x:v>Unverified</x:v>
      </x:c>
      <x:c r="H125" s="15" t="str">
        <x:v>Unverified</x:v>
      </x:c>
      <x:c r="I125" s="15" t="str">
        <x:v>Preserve run records and expose retrieval from the relevant conversation.</x:v>
      </x:c>
      <x:c r="J125" s="15" t="str">
        <x:v>P1</x:v>
      </x:c>
      <x:c r="K125" s="15" t="str">
        <x:v>Keep</x:v>
      </x:c>
      <x:c r="L125" s="15" t="str">
        <x:v>Evidence retention and access</x:v>
      </x:c>
      <x:c r="M125" s="15" t="str">
        <x:v>A saved run record is retrievable with original provenance after UI reload.</x:v>
      </x:c>
      <x:c r="N125" s="13" t="str">
        <x:v>Verified</x:v>
      </x:c>
      <x:c r="O125" s="13" t="str">
        <x:v>Preserve</x:v>
      </x:c>
      <x:c r="P125" s="15" t="str">
        <x:v>2026-09-16: preservation audit PASS. isolated `verify-chat-read-api.cjs` passed (original raw provenance/read-back; secret fields stripped); .intentgraph/evidence/pending-88-20260916/run-recovery.json (reload/deep links/durable capture) Owner acceptance remains separate.</x:v>
      </x:c>
      <x:c r="Q125" s="15" t="str">
        <x:v>Verified (scoped)</x:v>
      </x:c>
      <x:c r="R125" s="15" t="str">
        <x:v>Current scoped receipt and raw-run readback preserve original run/request/chat provenance and exact output. Evidence and admission settlement are distinct. Evidence: docs/evidence/admission-2026-09-19/verification.json; browser-checks.json.</x:v>
      </x:c>
      <x:c r="S125" s="15" t="str">
        <x:v>Existing local records only; no new provider/device run, service restart or cross-device durability test. Windows behavior, owner UI approval and live provider/device acceptance are not established by this milestone.</x:v>
      </x:c>
      <x:c r="T125" s="1"/>
    </x:row>
    <x:row r="126">
      <x:c r="A126" s="1"/>
      <x:c r="B126" s="1"/>
      <x:c r="C126" s="1"/>
      <x:c r="D126" s="1"/>
      <x:c r="E126" s="1"/>
      <x:c r="F126" s="1"/>
      <x:c r="G126" s="1"/>
      <x:c r="H126" s="1"/>
      <x:c r="I126" s="1"/>
      <x:c r="J126" s="1"/>
      <x:c r="K126" s="1"/>
      <x:c r="L126" s="1"/>
      <x:c r="M126" s="1"/>
      <x:c r="N126" s="1"/>
      <x:c r="O126" s="1"/>
      <x:c r="P126" s="1"/>
      <x:c r="Q126" s="1"/>
      <x:c r="R126" s="1"/>
      <x:c r="S126" s="1"/>
      <x:c r="T126" s="1"/>
    </x:row>
    <x:row r="127">
      <x:c r="A127" s="1"/>
      <x:c r="B127" s="1"/>
      <x:c r="C127" s="1"/>
      <x:c r="D127" s="1"/>
      <x:c r="E127" s="1"/>
      <x:c r="F127" s="1"/>
      <x:c r="G127" s="1"/>
      <x:c r="H127" s="1"/>
      <x:c r="I127" s="1"/>
      <x:c r="J127" s="1"/>
      <x:c r="K127" s="1"/>
      <x:c r="L127" s="1"/>
      <x:c r="M127" s="1"/>
      <x:c r="N127" s="1"/>
      <x:c r="O127" s="1"/>
      <x:c r="P127" s="1"/>
      <x:c r="Q127" s="1"/>
      <x:c r="R127" s="1"/>
      <x:c r="S127" s="1"/>
      <x:c r="T127" s="1"/>
    </x:row>
    <x:row r="128">
      <x:c r="A128" s="1"/>
      <x:c r="B128" s="1"/>
      <x:c r="C128" s="1"/>
      <x:c r="D128" s="1"/>
      <x:c r="E128" s="1"/>
      <x:c r="F128" s="1"/>
      <x:c r="G128" s="1"/>
      <x:c r="H128" s="1"/>
      <x:c r="I128" s="1"/>
      <x:c r="J128" s="1"/>
      <x:c r="K128" s="1"/>
      <x:c r="L128" s="1"/>
      <x:c r="M128" s="1"/>
      <x:c r="N128" s="1"/>
      <x:c r="O128" s="1"/>
      <x:c r="P128" s="1"/>
      <x:c r="Q128" s="1"/>
      <x:c r="R128" s="1"/>
      <x:c r="S128" s="1"/>
      <x:c r="T128" s="1"/>
    </x:row>
    <x:row r="129">
      <x:c r="A129"/>
      <x:c r="B129"/>
      <x:c r="C129"/>
      <x:c r="D129"/>
      <x:c r="E129" s="1"/>
      <x:c r="F129" s="6" t="str">
        <x:v>Source key</x:v>
      </x:c>
      <x:c r="G129" s="6" t="str">
        <x:v>Source / scope</x:v>
      </x:c>
      <x:c r="H129" s="6" t="str">
        <x:v>Location</x:v>
      </x:c>
      <x:c r="I129" s="6" t="str">
        <x:v>Coverage / limitation</x:v>
      </x:c>
      <x:c r="J129" s="1"/>
      <x:c r="K129" s="1"/>
      <x:c r="L129" s="1"/>
      <x:c r="M129" s="1"/>
      <x:c r="N129" s="1"/>
      <x:c r="O129" s="1"/>
      <x:c r="P129" s="1"/>
      <x:c r="Q129" s="1"/>
      <x:c r="R129" s="1"/>
      <x:c r="S129" s="1"/>
      <x:c r="T129" s="1"/>
    </x:row>
    <x:row r="130" ht="92" customHeight="1">
      <x:c r="A130"/>
      <x:c r="B130"/>
      <x:c r="C130"/>
      <x:c r="D130"/>
      <x:c r="E130" s="1"/>
      <x:c r="F130" s="4" t="str">
        <x:v>A0</x:v>
      </x:c>
      <x:c r="G130" s="4" t="str">
        <x:v>Live Aven, 15 Sep 2026</x:v>
      </x:c>
      <x:c r="H130" s="4" t="str">
        <x:v>http://127.0.0.1:8767/polished.html?revision=direct-teams-v4</x:v>
      </x:c>
      <x:c r="I130" s="4" t="str">
        <x:v>Chat, message actions, profile, account, Settings, archive empty state, Feed and artifacts inspected. No provider requests sent.</x:v>
      </x:c>
      <x:c r="J130" s="1"/>
      <x:c r="K130" s="1"/>
      <x:c r="L130" s="1"/>
      <x:c r="M130" s="1"/>
      <x:c r="N130" s="1"/>
      <x:c r="O130" s="1"/>
      <x:c r="P130" s="1"/>
      <x:c r="Q130" s="1"/>
      <x:c r="R130" s="1"/>
      <x:c r="S130" s="1"/>
      <x:c r="T130" s="1"/>
    </x:row>
    <x:row r="131" ht="92" customHeight="1">
      <x:c r="A131"/>
      <x:c r="B131"/>
      <x:c r="C131"/>
      <x:c r="D131"/>
      <x:c r="E131" s="1"/>
      <x:c r="F131" s="4" t="str">
        <x:v>G1</x:v>
      </x:c>
      <x:c r="G131" s="4" t="str">
        <x:v>Grok Bot 0.27.0</x:v>
      </x:c>
      <x:c r="H131" s="4" t="str">
        <x:v>Installed Windows app; .intentgraph/evidence/ux-comparison-2026-09-15/</x:v>
      </x:c>
      <x:c r="I131" s="4" t="str">
        <x:v>Firewall chat/menu/profile and creation menu inspected. TAPE routine/choice card observed. Reactions were not changed. No execution or notification delivery test.</x:v>
      </x:c>
      <x:c r="J131" s="1"/>
      <x:c r="K131" s="1"/>
      <x:c r="L131" s="1"/>
      <x:c r="M131" s="1"/>
      <x:c r="N131" s="1"/>
      <x:c r="O131" s="1"/>
      <x:c r="P131" s="1"/>
      <x:c r="Q131" s="1"/>
      <x:c r="R131" s="1"/>
      <x:c r="S131" s="1"/>
      <x:c r="T131" s="1"/>
    </x:row>
    <x:row r="132" ht="92" customHeight="1">
      <x:c r="A132"/>
      <x:c r="B132"/>
      <x:c r="C132"/>
      <x:c r="D132"/>
      <x:c r="E132" s="1"/>
      <x:c r="F132" s="4" t="str">
        <x:v>C0</x:v>
      </x:c>
      <x:c r="G132" s="4" t="str">
        <x:v>Codex app 26.908.4834.0</x:v>
      </x:c>
      <x:c r="H132" s="4" t="str">
        <x:v>Installed Windows app; codex-workspace.png</x:v>
      </x:c>
      <x:c r="I132" s="4" t="str">
        <x:v>Current task, progress, model/effort, stop, sidebar and actual embedded Aven browser observed. Not a complete live feature test.</x:v>
      </x:c>
      <x:c r="J132" s="1"/>
      <x:c r="K132" s="1"/>
      <x:c r="L132" s="1"/>
      <x:c r="M132" s="1"/>
      <x:c r="N132" s="1"/>
      <x:c r="O132" s="1"/>
      <x:c r="P132" s="1"/>
      <x:c r="Q132" s="1"/>
      <x:c r="R132" s="1"/>
      <x:c r="S132" s="1"/>
      <x:c r="T132" s="1"/>
    </x:row>
    <x:row r="133" ht="92" customHeight="1">
      <x:c r="A133"/>
      <x:c r="B133"/>
      <x:c r="C133"/>
      <x:c r="D133"/>
      <x:c r="E133" s="1"/>
      <x:c r="F133" s="4" t="str">
        <x:v>C1</x:v>
      </x:c>
      <x:c r="G133" s="4" t="str">
        <x:v>OpenAI feature overview</x:v>
      </x:c>
      <x:c r="H133" s="4" t="str">
        <x:v>https://learn.chatgpt.com/docs/features</x:v>
      </x:c>
      <x:c r="I133" s="4" t="str">
        <x:v>Official former Codex app docs redirect to ChatGPT Learn. Scope is desktop/Codex where identified; availability may vary.</x:v>
      </x:c>
      <x:c r="J133" s="1"/>
      <x:c r="K133" s="1"/>
      <x:c r="L133" s="1"/>
      <x:c r="M133" s="1"/>
      <x:c r="N133" s="1"/>
      <x:c r="O133" s="1"/>
      <x:c r="P133" s="1"/>
      <x:c r="Q133" s="1"/>
      <x:c r="R133" s="1"/>
      <x:c r="S133" s="1"/>
      <x:c r="T133" s="1"/>
    </x:row>
    <x:row r="134" ht="92" customHeight="1">
      <x:c r="A134"/>
      <x:c r="B134"/>
      <x:c r="C134"/>
      <x:c r="D134"/>
      <x:c r="E134" s="1"/>
      <x:c r="F134" s="4" t="str">
        <x:v>C2</x:v>
      </x:c>
      <x:c r="G134" s="4" t="str">
        <x:v>OpenAI projects and chats</x:v>
      </x:c>
      <x:c r="H134" s="4" t="str">
        <x:v>https://learn.chatgpt.com/docs/projects</x:v>
      </x:c>
      <x:c r="I134" s="4" t="str">
        <x:v>Use desktop sections, not web/CLI behavior.</x:v>
      </x:c>
      <x:c r="J134" s="1"/>
      <x:c r="K134" s="1"/>
      <x:c r="L134" s="1"/>
      <x:c r="M134" s="1"/>
      <x:c r="N134" s="1"/>
      <x:c r="O134" s="1"/>
      <x:c r="P134" s="1"/>
      <x:c r="Q134" s="1"/>
      <x:c r="R134" s="1"/>
      <x:c r="S134" s="1"/>
      <x:c r="T134" s="1"/>
    </x:row>
    <x:row r="135" ht="92" customHeight="1">
      <x:c r="A135"/>
      <x:c r="B135"/>
      <x:c r="C135"/>
      <x:c r="D135"/>
      <x:c r="E135" s="1"/>
      <x:c r="F135" s="4" t="str">
        <x:v>C3</x:v>
      </x:c>
      <x:c r="G135" s="4" t="str">
        <x:v>OpenAI code review</x:v>
      </x:c>
      <x:c r="H135" s="4" t="str">
        <x:v>https://learn.chatgpt.com/docs/code-review</x:v>
      </x:c>
      <x:c r="I135" s="4" t="str">
        <x:v>Diff scopes, inline feedback, stage/revert and repository workflows.</x:v>
      </x:c>
      <x:c r="J135" s="1"/>
      <x:c r="K135" s="1"/>
      <x:c r="L135" s="1"/>
      <x:c r="M135" s="1"/>
      <x:c r="N135" s="1"/>
      <x:c r="O135" s="1"/>
      <x:c r="P135" s="1"/>
      <x:c r="Q135" s="1"/>
      <x:c r="R135" s="1"/>
      <x:c r="S135" s="1"/>
      <x:c r="T135" s="1"/>
    </x:row>
    <x:row r="136" ht="92" customHeight="1">
      <x:c r="A136"/>
      <x:c r="B136"/>
      <x:c r="C136"/>
      <x:c r="D136"/>
      <x:c r="E136" s="1"/>
      <x:c r="F136" s="4" t="str">
        <x:v>C4</x:v>
      </x:c>
      <x:c r="G136" s="4" t="str">
        <x:v>OpenAI commands</x:v>
      </x:c>
      <x:c r="H136" s="4" t="str">
        <x:v>https://learn.chatgpt.com/docs/reference/commands</x:v>
      </x:c>
      <x:c r="I136" s="4" t="str">
        <x:v>Windows desktop shortcuts and documented affordances.</x:v>
      </x:c>
      <x:c r="J136" s="1"/>
      <x:c r="K136" s="1"/>
      <x:c r="L136" s="1"/>
      <x:c r="M136" s="1"/>
      <x:c r="N136" s="1"/>
      <x:c r="O136" s="1"/>
      <x:c r="P136" s="1"/>
      <x:c r="Q136" s="1"/>
      <x:c r="R136" s="1"/>
      <x:c r="S136" s="1"/>
      <x:c r="T136" s="1"/>
    </x:row>
    <x:row r="137" ht="92" customHeight="1">
      <x:c r="A137"/>
      <x:c r="B137"/>
      <x:c r="C137"/>
      <x:c r="D137"/>
      <x:c r="E137" s="1"/>
      <x:c r="F137" s="4" t="str">
        <x:v>C5</x:v>
      </x:c>
      <x:c r="G137" s="4" t="str">
        <x:v>OpenAI long-running work</x:v>
      </x:c>
      <x:c r="H137" s="4" t="str">
        <x:v>https://learn.chatgpt.com/docs/features</x:v>
      </x:c>
      <x:c r="I137" s="4" t="str">
        <x:v>Long-running and remote entries are documented links; full recovery semantics not independently verified.</x:v>
      </x:c>
      <x:c r="J137" s="1"/>
      <x:c r="K137" s="1"/>
      <x:c r="L137" s="1"/>
      <x:c r="M137" s="1"/>
      <x:c r="N137" s="1"/>
      <x:c r="O137" s="1"/>
      <x:c r="P137" s="1"/>
      <x:c r="Q137" s="1"/>
      <x:c r="R137" s="1"/>
      <x:c r="S137" s="1"/>
      <x:c r="T137" s="1"/>
    </x:row>
    <x:row r="138" ht="92" customHeight="1">
      <x:c r="A138"/>
      <x:c r="B138"/>
      <x:c r="C138"/>
      <x:c r="D138"/>
      <x:c r="E138" s="1"/>
      <x:c r="F138" s="4" t="str">
        <x:v>C6</x:v>
      </x:c>
      <x:c r="G138" s="4" t="str">
        <x:v>OpenAI developer feature index</x:v>
      </x:c>
      <x:c r="H138" s="4" t="str">
        <x:v>https://learn.chatgpt.com/docs/features</x:v>
      </x:c>
      <x:c r="I138" s="4" t="str">
        <x:v>Documents/instructions, terminals, approvals, skills and environment links. Indexed features are not live-tested here.</x:v>
      </x:c>
      <x:c r="J138" s="1"/>
      <x:c r="K138" s="1"/>
      <x:c r="L138" s="1"/>
      <x:c r="M138" s="1"/>
      <x:c r="N138" s="1"/>
      <x:c r="O138" s="1"/>
      <x:c r="P138" s="1"/>
      <x:c r="Q138" s="1"/>
      <x:c r="R138" s="1"/>
      <x:c r="S138" s="1"/>
      <x:c r="T138" s="1"/>
    </x:row>
    <x:row r="139" ht="92" customHeight="1">
      <x:c r="A139"/>
      <x:c r="B139"/>
      <x:c r="C139"/>
      <x:c r="D139"/>
      <x:c r="E139" s="1"/>
      <x:c r="F139" s="4" t="str">
        <x:v>C7</x:v>
      </x:c>
      <x:c r="G139" s="4" t="str">
        <x:v>OpenAI scheduled tasks</x:v>
      </x:c>
      <x:c r="H139" s="4" t="str">
        <x:v>https://learn.chatgpt.com/docs/automations</x:v>
      </x:c>
      <x:c r="I139" s="4" t="str">
        <x:v>Desktop recurring tasks and in-chat follow-ups.</x:v>
      </x:c>
      <x:c r="J139" s="1"/>
      <x:c r="K139" s="1"/>
      <x:c r="L139" s="1"/>
      <x:c r="M139" s="1"/>
      <x:c r="N139" s="1"/>
      <x:c r="O139" s="1"/>
      <x:c r="P139" s="1"/>
      <x:c r="Q139" s="1"/>
      <x:c r="R139" s="1"/>
      <x:c r="S139" s="1"/>
      <x:c r="T139" s="1"/>
    </x:row>
    <x:row r="140" ht="92" customHeight="1">
      <x:c r="A140"/>
      <x:c r="B140"/>
      <x:c r="C140"/>
      <x:c r="D140"/>
      <x:c r="E140" s="1"/>
      <x:c r="F140" s="4" t="str">
        <x:v>D0</x:v>
      </x:c>
      <x:c r="G140" s="4" t="str">
        <x:v>Claude Windows 1.52386.0.0</x:v>
      </x:c>
      <x:c r="H140" s="4" t="str">
        <x:v>claude-code-access.png</x:v>
      </x:c>
      <x:c r="I140" s="4" t="str">
        <x:v>Code tab shows Get Claude Code. Working Code session is access-gated; chat home is not Code capability proof.</x:v>
      </x:c>
      <x:c r="J140" s="1"/>
      <x:c r="K140" s="1"/>
      <x:c r="L140" s="1"/>
      <x:c r="M140" s="1"/>
      <x:c r="N140" s="1"/>
      <x:c r="O140" s="1"/>
      <x:c r="P140" s="1"/>
      <x:c r="Q140" s="1"/>
      <x:c r="R140" s="1"/>
      <x:c r="S140" s="1"/>
      <x:c r="T140" s="1"/>
    </x:row>
    <x:row r="141" ht="92" customHeight="1">
      <x:c r="A141"/>
      <x:c r="B141"/>
      <x:c r="C141"/>
      <x:c r="D141"/>
      <x:c r="E141" s="1"/>
      <x:c r="F141" s="4" t="str">
        <x:v>D1</x:v>
      </x:c>
      <x:c r="G141" s="4" t="str">
        <x:v>Claude Code desktop</x:v>
      </x:c>
      <x:c r="H141" s="4" t="str">
        <x:v>https://code.claude.com/docs/en/desktop</x:v>
      </x:c>
      <x:c r="I141" s="4" t="str">
        <x:v>Official documentation, not live working-session verification.</x:v>
      </x:c>
      <x:c r="J141" s="1"/>
      <x:c r="K141" s="1"/>
      <x:c r="L141" s="1"/>
      <x:c r="M141" s="1"/>
      <x:c r="N141" s="1"/>
      <x:c r="O141" s="1"/>
      <x:c r="P141" s="1"/>
      <x:c r="Q141" s="1"/>
      <x:c r="R141" s="1"/>
      <x:c r="S141" s="1"/>
      <x:c r="T141" s="1"/>
    </x:row>
    <x:row r="142" ht="92" customHeight="1">
      <x:c r="A142"/>
      <x:c r="B142"/>
      <x:c r="C142"/>
      <x:c r="D142"/>
      <x:c r="E142" s="1"/>
      <x:c r="F142" s="4" t="str">
        <x:v>D2</x:v>
      </x:c>
      <x:c r="G142" s="4" t="str">
        <x:v>Claude Code terminal interaction</x:v>
      </x:c>
      <x:c r="H142" s="4" t="str">
        <x:v>https://code.claude.com/docs/en/interactive-mode</x:v>
      </x:c>
      <x:c r="I142" s="4" t="str">
        <x:v>CLI-only affordances are labeled. Do not assume desktop uses identical commands or shortcuts.</x:v>
      </x:c>
      <x:c r="J142" s="1"/>
      <x:c r="K142" s="1"/>
      <x:c r="L142" s="1"/>
      <x:c r="M142" s="1"/>
      <x:c r="N142" s="1"/>
      <x:c r="O142" s="1"/>
      <x:c r="P142" s="1"/>
      <x:c r="Q142" s="1"/>
      <x:c r="R142" s="1"/>
      <x:c r="S142" s="1"/>
      <x:c r="T142" s="1"/>
    </x:row>
    <x:row r="143" ht="92" customHeight="1">
      <x:c r="A143"/>
      <x:c r="B143"/>
      <x:c r="C143"/>
      <x:c r="D143"/>
      <x:c r="E143" s="1"/>
      <x:c r="F143" s="4" t="str">
        <x:v>D3</x:v>
      </x:c>
      <x:c r="G143" s="4" t="str">
        <x:v>Claude Code schedules</x:v>
      </x:c>
      <x:c r="H143" s="4" t="str">
        <x:v>https://code.claude.com/docs/en/desktop</x:v>
      </x:c>
      <x:c r="I143" s="4" t="str">
        <x:v>Desktop docs list recurring tasks; detailed local scheduling operation not tested.</x:v>
      </x:c>
      <x:c r="J143" s="1"/>
      <x:c r="K143" s="1"/>
      <x:c r="L143" s="1"/>
      <x:c r="M143" s="1"/>
      <x:c r="N143" s="1"/>
      <x:c r="O143" s="1"/>
      <x:c r="P143" s="1"/>
      <x:c r="Q143" s="1"/>
      <x:c r="R143" s="1"/>
      <x:c r="S143" s="1"/>
      <x:c r="T143" s="1"/>
    </x:row>
    <x:row r="144" ht="92" customHeight="1">
      <x:c r="A144"/>
      <x:c r="B144"/>
      <x:c r="C144"/>
      <x:c r="D144"/>
      <x:c r="E144" s="1"/>
      <x:c r="F144" s="4" t="str">
        <x:v>A1</x:v>
      </x:c>
      <x:c r="G144" s="4" t="str">
        <x:v>Current active Aven source</x:v>
      </x:c>
      <x:c r="H144" s="4" t="str">
        <x:v>polished.html, polished.css, polished.js; intentgraph/server.cjs; intentgraph/agent-runtime.cjs</x:v>
      </x:c>
      <x:c r="I144" s="4" t="str">
        <x:v>Code-supported presence is not proof of end-to-end behavior. Older index.html is excluded.</x:v>
      </x:c>
      <x:c r="J144" s="1"/>
      <x:c r="K144" s="1"/>
      <x:c r="L144" s="1"/>
      <x:c r="M144" s="1"/>
      <x:c r="N144" s="1"/>
      <x:c r="O144" s="1"/>
      <x:c r="P144" s="1"/>
      <x:c r="Q144" s="1"/>
      <x:c r="R144" s="1"/>
      <x:c r="S144" s="1"/>
      <x:c r="T144" s="1"/>
    </x:row>
    <x:row r="145" ht="92" customHeight="1">
      <x:c r="A145"/>
      <x:c r="B145"/>
      <x:c r="C145"/>
      <x:c r="D145"/>
      <x:c r="E145" s="1"/>
      <x:c r="F145" s="4" t="str">
        <x:v>Scope</x:v>
      </x:c>
      <x:c r="G145" s="4" t="str">
        <x:v>Coverage limits</x:v>
      </x:c>
      <x:c r="H145" s="4" t="str">
        <x:v>UI/UX and user-visible behavior</x:v>
      </x:c>
      <x:c r="I145" s="4" t="str">
        <x:v>No exhaustive parity or accessibility certification. No production-device execution, paid model call, remote integration, or reference-message mutation was performed.</x:v>
      </x:c>
      <x:c r="J145" s="1"/>
      <x:c r="K145" s="1"/>
      <x:c r="L145" s="1"/>
      <x:c r="M145" s="1"/>
      <x:c r="N145" s="1"/>
      <x:c r="O145" s="1"/>
      <x:c r="P145" s="1"/>
      <x:c r="Q145" s="1"/>
      <x:c r="R145" s="1"/>
      <x:c r="S145" s="1"/>
      <x:c r="T145" s="1"/>
    </x:row>
    <x:row r="146" ht="92" customHeight="1">
      <x:c r="A146"/>
      <x:c r="B146"/>
      <x:c r="C146"/>
      <x:c r="D146"/>
      <x:c r="E146" s="1"/>
      <x:c r="F146" s="4" t="str">
        <x:v>Workflow</x:v>
      </x:c>
      <x:c r="G146" s="4" t="str">
        <x:v>Use this register</x:v>
      </x:c>
      <x:c r="H146" s="4" t="str">
        <x:v>Filter Phase, Aven state, Priority or Decision</x:v>
      </x:c>
      <x:c r="I146" s="4" t="str">
        <x:v>Update Delivery and evidence per feature. Verified is tested behavior; Accepted requires owner feedback. Future editors must import this workbook and preserve user changes.</x:v>
      </x:c>
      <x:c r="J146" s="1"/>
      <x:c r="K146" s="1"/>
      <x:c r="L146" s="1"/>
      <x:c r="M146" s="1"/>
      <x:c r="N146" s="1"/>
      <x:c r="O146" s="1"/>
      <x:c r="P146" s="1"/>
      <x:c r="Q146" s="1"/>
      <x:c r="R146" s="1"/>
      <x:c r="S146" s="1"/>
      <x:c r="T146" s="1"/>
    </x:row>
    <x:row r="147" ht="92" customHeight="1">
      <x:c r="A147"/>
      <x:c r="B147"/>
      <x:c r="C147"/>
      <x:c r="D147"/>
      <x:c r="E147" s="1"/>
      <x:c r="F147" s="4" t="str">
        <x:v>Preservation</x:v>
      </x:c>
      <x:c r="G147" s="4" t="str">
        <x:v>Required throughout</x:v>
      </x:c>
      <x:c r="H147" s="4" t="str">
        <x:v>Chats, drafts, queues, avatars, raw CLI and revert history</x:v>
      </x:c>
      <x:c r="I147" s="4" t="str">
        <x:v>Teams labels are not execution capability. Removing Teams navigation must retain reachable existing grouped histories. Device commands are never undone by chat revert.</x:v>
      </x:c>
      <x:c r="J147" s="1"/>
      <x:c r="K147" s="1"/>
      <x:c r="L147" s="1"/>
      <x:c r="M147" s="1"/>
      <x:c r="N147" s="1"/>
      <x:c r="O147" s="1"/>
      <x:c r="P147" s="1"/>
      <x:c r="Q147" s="1"/>
      <x:c r="R147" s="1"/>
      <x:c r="S147" s="1"/>
      <x:c r="T147" s="1"/>
    </x:row>
    <x:row r="148">
      <x:c r="A148" s="1"/>
      <x:c r="B148" s="1"/>
      <x:c r="C148" s="1"/>
      <x:c r="D148" s="1"/>
      <x:c r="E148" s="1"/>
      <x:c r="F148" s="1"/>
      <x:c r="G148" s="1"/>
      <x:c r="H148" s="1"/>
      <x:c r="I148" s="1"/>
      <x:c r="J148" s="1"/>
      <x:c r="K148" s="1"/>
      <x:c r="L148" s="1"/>
      <x:c r="M148" s="1"/>
      <x:c r="N148" s="1"/>
      <x:c r="O148" s="1"/>
      <x:c r="P148" s="1"/>
      <x:c r="Q148" s="1"/>
      <x:c r="R148" s="1"/>
      <x:c r="S148" s="1"/>
      <x:c r="T148" s="1"/>
    </x:row>
    <x:row r="149">
      <x:c r="A149" s="1"/>
      <x:c r="B149" s="1"/>
      <x:c r="C149" s="1"/>
      <x:c r="D149" s="1"/>
      <x:c r="E149" s="1"/>
      <x:c r="F149" s="1"/>
      <x:c r="G149" s="1"/>
      <x:c r="H149" s="1"/>
      <x:c r="I149" s="1"/>
      <x:c r="J149" s="1"/>
      <x:c r="K149" s="1"/>
      <x:c r="L149" s="1"/>
      <x:c r="M149" s="1"/>
      <x:c r="N149" s="1"/>
      <x:c r="O149" s="1"/>
      <x:c r="P149" s="1"/>
      <x:c r="Q149" s="1"/>
      <x:c r="R149" s="1"/>
      <x:c r="S149" s="1"/>
      <x:c r="T149" s="1"/>
    </x:row>
    <x:row r="150">
      <x:c r="A150" s="1"/>
      <x:c r="B150" s="1"/>
      <x:c r="C150" s="1"/>
      <x:c r="D150" s="1"/>
      <x:c r="E150" s="1"/>
      <x:c r="F150" s="1"/>
      <x:c r="G150" s="1"/>
      <x:c r="H150" s="1"/>
      <x:c r="I150" s="1"/>
      <x:c r="J150" s="1"/>
      <x:c r="K150" s="1"/>
      <x:c r="L150" s="1"/>
      <x:c r="M150" s="1"/>
      <x:c r="N150" s="1"/>
      <x:c r="O150" s="1"/>
      <x:c r="P150" s="1"/>
      <x:c r="Q150" s="1"/>
      <x:c r="R150" s="1"/>
      <x:c r="S150" s="1"/>
      <x:c r="T150" s="1"/>
    </x:row>
    <x:row r="151">
      <x:c r="A151" s="1"/>
      <x:c r="B151" s="1"/>
      <x:c r="C151" s="1"/>
      <x:c r="D151" s="1"/>
      <x:c r="E151" s="1"/>
      <x:c r="F151" s="1"/>
      <x:c r="G151" s="1"/>
      <x:c r="H151" s="1"/>
      <x:c r="I151" s="1"/>
      <x:c r="J151" s="1"/>
      <x:c r="K151" s="1"/>
      <x:c r="L151" s="1"/>
      <x:c r="M151" s="1"/>
      <x:c r="N151" s="1"/>
      <x:c r="O151" s="1"/>
      <x:c r="P151" s="1"/>
      <x:c r="Q151" s="1"/>
      <x:c r="R151" s="1"/>
      <x:c r="S151" s="1"/>
      <x:c r="T151" s="1"/>
    </x:row>
    <x:row r="152">
      <x:c r="A152" s="1"/>
      <x:c r="B152" s="1"/>
      <x:c r="C152" s="1"/>
      <x:c r="D152" s="1"/>
      <x:c r="E152" s="1"/>
      <x:c r="F152" s="1"/>
      <x:c r="G152" s="1"/>
      <x:c r="H152" s="1"/>
      <x:c r="I152" s="1"/>
      <x:c r="J152" s="1"/>
      <x:c r="K152" s="1"/>
      <x:c r="L152" s="1"/>
      <x:c r="M152" s="1"/>
      <x:c r="N152" s="1"/>
      <x:c r="O152" s="1"/>
      <x:c r="P152" s="1"/>
      <x:c r="Q152" s="1"/>
      <x:c r="R152" s="1"/>
      <x:c r="S152" s="1"/>
      <x:c r="T152" s="1"/>
    </x:row>
    <x:row r="153">
      <x:c r="A153" s="1"/>
      <x:c r="B153" s="1"/>
      <x:c r="C153" s="1"/>
      <x:c r="D153" s="1"/>
      <x:c r="E153" s="1"/>
      <x:c r="F153" s="1"/>
      <x:c r="G153" s="1"/>
      <x:c r="H153" s="1"/>
      <x:c r="I153" s="1"/>
      <x:c r="J153" s="1"/>
      <x:c r="K153" s="1"/>
      <x:c r="L153" s="1"/>
      <x:c r="M153" s="1"/>
      <x:c r="N153" s="1"/>
      <x:c r="O153" s="1"/>
      <x:c r="P153" s="1"/>
      <x:c r="Q153" s="1"/>
      <x:c r="R153" s="1"/>
      <x:c r="S153" s="1"/>
      <x:c r="T153" s="1"/>
    </x:row>
    <x:row r="154">
      <x:c r="A154" s="1"/>
      <x:c r="B154" s="1"/>
      <x:c r="C154" s="1"/>
      <x:c r="D154" s="1"/>
      <x:c r="E154" s="1"/>
      <x:c r="F154" s="1"/>
      <x:c r="G154" s="1"/>
      <x:c r="H154" s="1"/>
      <x:c r="I154" s="1"/>
      <x:c r="J154" s="1"/>
      <x:c r="K154" s="1"/>
      <x:c r="L154" s="1"/>
      <x:c r="M154" s="1"/>
      <x:c r="N154" s="1"/>
      <x:c r="O154" s="1"/>
      <x:c r="P154" s="1"/>
      <x:c r="Q154" s="1"/>
      <x:c r="R154" s="1"/>
      <x:c r="S154" s="1"/>
      <x:c r="T154" s="1"/>
    </x:row>
    <x:row r="155">
      <x:c r="A155" s="1"/>
      <x:c r="B155" s="1"/>
      <x:c r="C155" s="1"/>
      <x:c r="D155" s="1"/>
      <x:c r="E155" s="1"/>
      <x:c r="F155" s="1"/>
      <x:c r="G155" s="1"/>
      <x:c r="H155" s="1"/>
      <x:c r="I155" s="1"/>
      <x:c r="J155" s="1"/>
      <x:c r="K155" s="1"/>
      <x:c r="L155" s="1"/>
      <x:c r="M155" s="1"/>
      <x:c r="N155" s="1"/>
      <x:c r="O155" s="1"/>
      <x:c r="P155" s="1"/>
      <x:c r="Q155" s="1"/>
      <x:c r="R155" s="1"/>
      <x:c r="S155" s="1"/>
      <x:c r="T155" s="1"/>
    </x:row>
  </x:sheetData>
  <x:conditionalFormatting sqref="D11:D125">
    <x:cfRule type="containsText" dxfId="0" priority="1" operator="containsText" text="Needs fix"/>
    <x:cfRule type="containsText" dxfId="1" priority="2" operator="containsText" text="Missing"/>
    <x:cfRule type="containsText" dxfId="2" priority="3" operator="containsText" text="Not verified"/>
  </x:conditionalFormatting>
  <x:dataValidations count="3">
    <x:dataValidation type="list" sqref="N11:N125">
      <x:formula1>"Not started,Preserve / verify,In progress,Implemented,Verified,Accepted,Deferred"</x:formula1>
    </x:dataValidation>
    <x:dataValidation type="list" sqref="O11:O125">
      <x:formula1>"Agreed,Proposed,Preserve,Investigate,Declined"</x:formula1>
    </x:dataValidation>
    <x:dataValidation type="list" sqref="J11:J125">
      <x:formula1>"P1,P2,P3"</x:formula1>
    </x:dataValidation>
  </x:dataValidations>
  <x:pageMargins left="0.7" right="0.7" top="0.75" bottom="0.75" header="0.3" footer="0.3"/>
  <x:tableParts count="1">
    <x:tablePart r:id="R3b91acc2d02d4683"/>
  </x:tableParts>
</x:worksheet>
</file>