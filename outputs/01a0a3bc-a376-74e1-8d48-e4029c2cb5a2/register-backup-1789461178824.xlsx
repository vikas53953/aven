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02794ce63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18aef2af0dc5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c96155aaa4541" /><Relationship Type="http://schemas.openxmlformats.org/officeDocument/2006/relationships/theme" Target="/xl/theme/theme1.xml" Id="R88a06512e4d84ef5" /><Relationship Type="http://schemas.openxmlformats.org/officeDocument/2006/relationships/sharedStrings" Target="/xl/sharedStrings.xml" Id="R12db5a7d8fcc4e63" /><Relationship Type="http://schemas.openxmlformats.org/officeDocument/2006/relationships/worksheet" Target="/xl/worksheets/sheet1.xml" Id="R18aef2af0dc54b50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998b0b56344075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17</x:v>
      </x:c>
      <x:c r="H8" s="1" t="str">
        <x:v>Partial / placeholder</x:v>
      </x:c>
      <x:c r="I8" s="1" t="n">
        <x:f>COUNTIFS(D11:D125,"Partial")+COUNTIFS(D11:D125,"Placeholder")</x:f>
        <x:v>45</x:v>
      </x:c>
      <x:c r="J8" s="1" t="str">
        <x:v>Present</x:v>
      </x:c>
      <x:c r="K8" s="1" t="n">
        <x:f>COUNTIFS(D11:D125,"Present")</x:f>
        <x:v>47</x:v>
      </x:c>
      <x:c r="L8" s="1" t="str">
        <x:v>Not verified</x:v>
      </x:c>
      <x:c r="M8" s="1" t="n">
        <x:f>COUNTIFS(D11:D125,"Not verified")</x:f>
        <x:v>6</x:v>
      </x:c>
      <x:c r="N8" s="1" t="str">
        <x:v>Verified</x:v>
      </x:c>
      <x:c r="O8" s="1" t="n">
        <x:f>COUNTIFS(N11:N125,"Verified")</x:f>
        <x:v>25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Present</x:v>
      </x:c>
      <x:c r="E26" s="17" t="str">
        <x:v>Coworker, conversation and result-type filters; snippets, destinations, empty state and exact message focus verified.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Verified</x:v>
      </x:c>
      <x:c r="O26" s="10" t="str">
        <x:v>Proposed</x:v>
      </x:c>
      <x:c r="P26" s="17" t="str">
        <x:v>2026-09-15: .intentgraph/evidence/ux-fixes-2026-09-15/history-navigation.json; verify-history-navigation.cjs exit 0. Isolated mocked chat; owner acceptance pending.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Present</x:v>
      </x:c>
      <x:c r="E54" s="17" t="str">
        <x:v>Local date separators and focusable timestamps with full accessible date/time. Invalid timestamps do not invent dates.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Verified</x:v>
      </x:c>
      <x:c r="O54" s="10" t="str">
        <x:v>Proposed</x:v>
      </x:c>
      <x:c r="P54" s="17" t="str">
        <x:v>2026-09-15: .intentgraph/evidence/ux-fixes-2026-09-15/history-navigation.json; verify-history-navigation.cjs exit 0. Isolated mocked chat; owner acceptance pending.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Present</x:v>
      </x:c>
      <x:c r="E55" s="19" t="str">
        <x:v>Output preserves older reading position; explicit keyboard Jump to latest and near-bottom following use a 120px threshold.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Verified</x:v>
      </x:c>
      <x:c r="O55" s="10" t="str">
        <x:v>Investigate</x:v>
      </x:c>
      <x:c r="P55" s="19" t="str">
        <x:v>2026-09-15: .intentgraph/evidence/ux-fixes-2026-09-15/history-navigation.json; verify-history-navigation.cjs exit 0. Isolated mocked chat; owner acceptance pending.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Present</x:v>
      </x:c>
      <x:c r="E57" s="19" t="str">
        <x:v>Named local forks retain the selected message prefix and raw provenance. Parent history/draft/queue unchanged; origin link survives reload and storage failures roll back.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Verified</x:v>
      </x:c>
      <x:c r="O57" s="10" t="str">
        <x:v>Proposed</x:v>
      </x:c>
      <x:c r="P57" s="19" t="str">
        <x:v>2026-09-15: .intentgraph/evidence/ux-fixes-2026-09-15/history-navigation.json; verify-history-navigation.cjs exit 0. Isolated mocked chat; owner acceptance pending.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Present</x:v>
      </x:c>
      <x:c r="E61" s="19" t="str">
        <x:v>Workspace JSON and selected conversation Markdown exports include timestamps, drafts, notes and exact raw evidence. Backend credentials and attachment contents are not read.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Verified</x:v>
      </x:c>
      <x:c r="O61" s="10" t="str">
        <x:v>Proposed</x:v>
      </x:c>
      <x:c r="P61" s="19" t="str">
        <x:v>2026-09-15: local-data-ui.json; browser test exit 0. verify-backup-schema.cjs 9/9 passed, including private-field rejection, exact evidence, UTF-8 size boundary and interrupted-import recovery. Owner acceptance pending.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Present</x:v>
      </x:c>
      <x:c r="E62" s="17" t="str">
        <x:v>Validated import preview. Add mode remaps collisions and preserves existing work; explicit Replace keeps a recovery backup. Imported queues pause. Write failures and interrupted imports recover before startup migration.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Verified</x:v>
      </x:c>
      <x:c r="O62" s="10" t="str">
        <x:v>Proposed</x:v>
      </x:c>
      <x:c r="P62" s="17" t="str">
        <x:v>2026-09-15: local-data-ui.json; browser test exit 0. verify-backup-schema.cjs 9/9 passed, including private-field rejection, exact evidence, UTF-8 size boundary and interrupted-import recovery. Owner acceptance pending.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Present</x:v>
      </x:c>
      <x:c r="E69" s="15" t="str">
        <x:v>Comfortable and Compact density styles with light/dark themes. Save, cancel, reload and storage-failure behavior verified.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Verified</x:v>
      </x:c>
      <x:c r="O69" s="13" t="str">
        <x:v>Preserve</x:v>
      </x:c>
      <x:c r="P69" s="15" t="str">
        <x:v>2026-09-15: local-data-ui.json; browser test exit 0. verify-backup-schema.cjs 9/9 passed, including private-field rejection, exact evidence, UTF-8 size boundary and interrupted-import recovery. Owner acceptance pending.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About identifies loaded UI build ux-pipeline-v5 and offers safe copyable support details. Live connection-health diagnostics remain pending.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Connection diagnostics must read the current backend/provider state without exposing credentials.</x:v>
      </x:c>
      <x:c r="M112" s="17" t="str">
        <x:v>Support report identifies exact build and contains no provider keys.</x:v>
      </x:c>
      <x:c r="N112" s="10" t="str">
        <x:v>Implemented</x:v>
      </x:c>
      <x:c r="O112" s="10" t="str">
        <x:v>Proposed</x:v>
      </x:c>
      <x:c r="P112" s="17" t="str">
        <x:v>2026-09-15: local-data-ui.json verifies build details and safe support text. Remaining connection-status portion not implemented.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998b0b56344075"/>
  </x:tableParts>
</x:worksheet>
</file>