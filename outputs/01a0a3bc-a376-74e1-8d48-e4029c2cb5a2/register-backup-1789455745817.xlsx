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df5af84e7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ae5847b59a6a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 patternType="solid">
          <x:bgColor rgb="FFFBE5E4"/>
        </x:patternFill>
      </x:fill>
    </x:dxf>
    <x:dxf>
      <x:font>
        <x:color rgb="FF805322"/>
      </x:font>
      <x:fill>
        <x:patternFill patternType="solid">
          <x:bgColor rgb="FFFFF1DC"/>
        </x:patternFill>
      </x:fill>
    </x:dxf>
    <x:dxf>
      <x:font>
        <x:color rgb="FF46566D"/>
      </x:font>
      <x:fill>
        <x:patternFill patternType="solid"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15a8ef7164e9d" /><Relationship Type="http://schemas.openxmlformats.org/officeDocument/2006/relationships/theme" Target="/xl/theme/theme1.xml" Id="R1beb85d1c9624c3b" /><Relationship Type="http://schemas.openxmlformats.org/officeDocument/2006/relationships/sharedStrings" Target="/xl/sharedStrings.xml" Id="R5b38b394026f44f9" /><Relationship Type="http://schemas.openxmlformats.org/officeDocument/2006/relationships/worksheet" Target="/xl/worksheets/sheet1.xml" Id="Rae5847b59a6a49c2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44943048734fdc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All comparison-driven implementation remains pending. Agreed corrections are marked Agreed. No product code changed by this audit.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9</x:v>
      </x:c>
      <x:c r="F8" s="1" t="str">
        <x:v>Missing</x:v>
      </x:c>
      <x:c r="G8" s="1" t="n">
        <x:f>COUNTIFS(D11:D125,"Missing")</x:f>
        <x:v>26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22</x:v>
      </x:c>
      <x:c r="L8" s="1" t="str">
        <x:v>Not verified</x:v>
      </x:c>
      <x:c r="M8" s="1" t="n">
        <x:f>COUNTIFS(D11:D125,"Not verified")</x:f>
        <x:v>7</x:v>
      </x:c>
      <x:c r="N8" s="1"/>
      <x:c r="O8" s="1"/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Needs fix</x:v>
      </x:c>
      <x:c r="E11" s="15" t="str">
        <x:v>Thick vertical and horizontal sidebar bars visible.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Not started</x:v>
      </x:c>
      <x:c r="O11" s="13" t="str">
        <x:v>Agreed</x:v>
      </x:c>
      <x:c r="P11" s="15" t="str">
        <x:v>A0; polished.css; polished.js:145-157,276,474; polished.css:50,121,130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Needs fix</x:v>
      </x:c>
      <x:c r="E12" s="17" t="str">
        <x:v>Sidebar scrolls horizontally with ordinary chat previews.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Not started</x:v>
      </x:c>
      <x:c r="O12" s="10" t="str">
        <x:v>Agreed</x:v>
      </x:c>
      <x:c r="P12" s="17" t="str">
        <x:v>A0; polished.css; polished.js:145-157,276,474; polished.css:50,121,130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Needs fix</x:v>
      </x:c>
      <x:c r="E13" s="19" t="str">
        <x:v>Small downward caret adds clutter beside display name.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Not started</x:v>
      </x:c>
      <x:c r="O13" s="10" t="str">
        <x:v>Agreed</x:v>
      </x:c>
      <x:c r="P13" s="19" t="str">
        <x:v>A0; polished.html account-button; polished.js:145-157,276,474; polished.css:50,121,130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Needs fix</x:v>
      </x:c>
      <x:c r="E14" s="17" t="str">
        <x:v>Pane says Coworker profile and contains an Agent switcher.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Not started</x:v>
      </x:c>
      <x:c r="O14" s="10" t="str">
        <x:v>Agreed</x:v>
      </x:c>
      <x:c r="P14" s="17" t="str">
        <x:v>A0; polished.html right-pane; polished.js; polished.js:145-157,276,474; polished.css:50,121,130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Needs fix</x:v>
      </x:c>
      <x:c r="E15" s="19" t="str">
        <x:v>Three vertical React menu entries.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Not started</x:v>
      </x:c>
      <x:c r="O15" s="10" t="str">
        <x:v>Agreed</x:v>
      </x:c>
      <x:c r="P15" s="19" t="str">
        <x:v>A0; G1; polished.js openMessageMenu; polished.js:145-157,276,474; polished.css:50,121,130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Needs fix</x:v>
      </x:c>
      <x:c r="E16" s="17" t="str">
        <x:v>One message has all three reactions selected.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Not started</x:v>
      </x:c>
      <x:c r="O16" s="10" t="str">
        <x:v>Agreed</x:v>
      </x:c>
      <x:c r="P16" s="17" t="str">
        <x:v>A0; polished.js toggleMessageReaction; polished.js:145-157,276,474; polished.css:50,121,130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Needs fix</x:v>
      </x:c>
      <x:c r="E17" s="15" t="str">
        <x:v>Direct and Teams plus two creation concepts compete.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Not started</x:v>
      </x:c>
      <x:c r="O17" s="13" t="str">
        <x:v>Agreed</x:v>
      </x:c>
      <x:c r="P17" s="15" t="str">
        <x:v>A0; polished.html; migration code; polished.js:438-481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Not started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Not started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Missing</x:v>
      </x:c>
      <x:c r="E59" s="19" t="str">
        <x:v>Only three hardcoded reactions exposed.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Not started</x:v>
      </x:c>
      <x:c r="O59" s="10" t="str">
        <x:v>Proposed</x:v>
      </x:c>
      <x:c r="P59" s="19" t="str">
        <x:v>A0; polished.js reactions; polished.js:92-192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Needs fix</x:v>
      </x:c>
      <x:c r="E113" s="19" t="str">
        <x:v>Agent, coworker, team and workspace labels overlap.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Not started</x:v>
      </x:c>
      <x:c r="O113" s="10" t="str">
        <x:v>Proposed</x:v>
      </x:c>
      <x:c r="P113" s="19" t="str">
        <x:v>A0; polished.html; polished.js; polished.css:45-64,116-143,325-329; polished.js:19-58,437-449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Not started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Needs fix</x:v>
      </x:c>
      <x:c r="E119" s="15" t="str">
        <x:v>Document editor suggests behavior/memory, but those local docs are not in chat payload.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Not started</x:v>
      </x:c>
      <x:c r="O119" s="13" t="str">
        <x:v>Proposed</x:v>
      </x:c>
      <x:c r="P119" s="15" t="str">
        <x:v>polished.js:272-280,314,408-415; intentgraph/agent-runtime.cjs:363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4943048734fdc"/>
  </x:tableParts>
</x:worksheet>
</file>