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802c42846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bbf9f1243a22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7eeda7abb4b60" /><Relationship Type="http://schemas.openxmlformats.org/officeDocument/2006/relationships/theme" Target="/xl/theme/theme1.xml" Id="R297fd2fa95dc4c06" /><Relationship Type="http://schemas.openxmlformats.org/officeDocument/2006/relationships/sharedStrings" Target="/xl/sharedStrings.xml" Id="R2b7e7ccf05f54616" /><Relationship Type="http://schemas.openxmlformats.org/officeDocument/2006/relationships/worksheet" Target="/xl/worksheets/sheet1.xml" Id="Rbbf9f1243a224523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130cfe5ac64c7b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direct-teams-v4.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7</x:v>
      </x:c>
      <x:c r="F8" s="1" t="str">
        <x:v>Missing</x:v>
      </x:c>
      <x:c r="G8" s="1" t="n">
        <x:f>COUNTIFS(D11:D125,"Missing")</x:f>
        <x:v>26</x:v>
      </x:c>
      <x:c r="H8" s="1" t="str">
        <x:v>Partial / placeholder</x:v>
      </x:c>
      <x:c r="I8" s="1" t="n">
        <x:f>COUNTIFS(D11:D125,"Partial")+COUNTIFS(D11:D125,"Placeholder")</x:f>
        <x:v>51</x:v>
      </x:c>
      <x:c r="J8" s="1" t="str">
        <x:v>Present</x:v>
      </x:c>
      <x:c r="K8" s="1" t="n">
        <x:f>COUNTIFS(D11:D125,"Present")</x:f>
        <x:v>24</x:v>
      </x:c>
      <x:c r="L8" s="1" t="str">
        <x:v>Not verified</x:v>
      </x:c>
      <x:c r="M8" s="1" t="n">
        <x:f>COUNTIFS(D11:D125,"Not verified")</x:f>
        <x:v>7</x:v>
      </x:c>
      <x:c r="N8" s="1" t="str">
        <x:v>Verified</x:v>
      </x:c>
      <x:c r="O8" s="1" t="n">
        <x:f>COUNTIFS(N11:N125,"Verified")</x:f>
        <x:v>2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42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Needs fix</x:v>
      </x:c>
      <x:c r="E11" s="15" t="str">
        <x:v>Thick vertical and horizontal sidebar bars visible.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In progress</x:v>
      </x:c>
      <x:c r="O11" s="13" t="str">
        <x:v>Agreed</x:v>
      </x:c>
      <x:c r="P11" s="15" t="str">
        <x:v>A0; polished.css; polished.js:145-157,276,474; polished.css:50,121,130</x:v>
      </x:c>
      <x:c r="Q11" s="1"/>
      <x:c r="R11" s="1"/>
      <x:c r="S11" s="1"/>
      <x:c r="T11" s="1"/>
    </x:row>
    <x:row r="12" ht="42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Needs fix</x:v>
      </x:c>
      <x:c r="E12" s="17" t="str">
        <x:v>Sidebar scrolls horizontally with ordinary chat previews.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In progress</x:v>
      </x:c>
      <x:c r="O12" s="10" t="str">
        <x:v>Agreed</x:v>
      </x:c>
      <x:c r="P12" s="17" t="str">
        <x:v>A0; polished.css; polished.js:145-157,276,474; polished.css:50,121,130</x:v>
      </x:c>
      <x:c r="Q12" s="1"/>
      <x:c r="R12" s="1"/>
      <x:c r="S12" s="1"/>
      <x:c r="T12" s="1"/>
    </x:row>
    <x:row r="13" ht="48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Present</x:v>
      </x:c>
      <x:c r="E13" s="19" t="str">
        <x:v>Account caret removed; keyboard account menu and Settings remain accessible.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Verified</x:v>
      </x:c>
      <x:c r="O13" s="10" t="str">
        <x:v>Agreed</x:v>
      </x:c>
      <x:c r="P13" s="19" t="str">
        <x:v>2026-09-15: .intentgraph/evidence/ux-fixes-2026-09-15/root-identity-review.json; review-ux-pipeline.cjs --identity-only; exit 0. Isolated Chromium, owner acceptance pending.</x:v>
      </x:c>
      <x:c r="Q13" s="1"/>
      <x:c r="R13" s="1"/>
      <x:c r="S13" s="1"/>
      <x:c r="T13" s="1"/>
    </x:row>
    <x:row r="14" ht="48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Present</x:v>
      </x:c>
      <x:c r="E14" s="17" t="str">
        <x:v>Profile heading shows selected coworker name; redundant selector removed. Rename synchronizes profile and conversation.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Verified</x:v>
      </x:c>
      <x:c r="O14" s="10" t="str">
        <x:v>Agreed</x:v>
      </x:c>
      <x:c r="P14" s="17" t="str">
        <x:v>2026-09-15: root-identity-review.json and root-profile-desktop.png under .intentgraph/evidence/ux-fixes-2026-09-15/; browser test exit 0. Owner acceptance pending.</x:v>
      </x:c>
      <x:c r="Q14" s="1"/>
      <x:c r="R14" s="1"/>
      <x:c r="S14" s="1"/>
      <x:c r="T14" s="1"/>
    </x:row>
    <x:row r="15" ht="48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Needs fix</x:v>
      </x:c>
      <x:c r="E15" s="19" t="str">
        <x:v>Three vertical React menu entries.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In progress</x:v>
      </x:c>
      <x:c r="O15" s="10" t="str">
        <x:v>Agreed</x:v>
      </x:c>
      <x:c r="P15" s="19" t="str">
        <x:v>A0; G1; polished.js openMessageMenu; polished.js:145-157,276,474; polished.css:50,121,130</x:v>
      </x:c>
      <x:c r="Q15" s="1"/>
      <x:c r="R15" s="1"/>
      <x:c r="S15" s="1"/>
      <x:c r="T15" s="1"/>
    </x:row>
    <x:row r="16" ht="48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Needs fix</x:v>
      </x:c>
      <x:c r="E16" s="17" t="str">
        <x:v>One message has all three reactions selected.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In progress</x:v>
      </x:c>
      <x:c r="O16" s="10" t="str">
        <x:v>Agreed</x:v>
      </x:c>
      <x:c r="P16" s="17" t="str">
        <x:v>A0; polished.js toggleMessageReaction; polished.js:145-157,276,474; polished.css:50,121,130</x:v>
      </x:c>
      <x:c r="Q16" s="1"/>
      <x:c r="R16" s="1"/>
      <x:c r="S16" s="1"/>
      <x:c r="T16" s="1"/>
    </x:row>
    <x:row r="17" ht="48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Needs fix</x:v>
      </x:c>
      <x:c r="E17" s="15" t="str">
        <x:v>Direct and Teams plus two creation concepts compete.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In progress</x:v>
      </x:c>
      <x:c r="O17" s="13" t="str">
        <x:v>Agreed</x:v>
      </x:c>
      <x:c r="P17" s="15" t="str">
        <x:v>A0; polished.html; migration code; polished.js:438-481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4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Partial</x:v>
      </x:c>
      <x:c r="E19" s="19" t="str">
        <x:v>Names and latest message previews exist; Markdown leaks into preview.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Not started</x:v>
      </x:c>
      <x:c r="O19" s="10" t="str">
        <x:v>Proposed</x:v>
      </x:c>
      <x:c r="P19" s="19" t="str">
        <x:v>A0; polished.js renderSidebar; polished.js:438-481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4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Partial</x:v>
      </x:c>
      <x:c r="E22" s="17" t="str">
        <x:v>Sections and grouping are implemented around existing containers.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Not started</x:v>
      </x:c>
      <x:c r="O22" s="10" t="str">
        <x:v>Proposed</x:v>
      </x:c>
      <x:c r="P22" s="17" t="str">
        <x:v>polished.js renderSidebar; polished.js:438-481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4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Not verified</x:v>
      </x:c>
      <x:c r="E24" s="17" t="str">
        <x:v>Selection works; app-specific navigation history not verified.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Not started</x:v>
      </x:c>
      <x:c r="O24" s="10" t="str">
        <x:v>Investigate</x:v>
      </x:c>
      <x:c r="P24" s="17" t="str">
        <x:v>Source inspection needed; polished.js:438-481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42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Partial</x:v>
      </x:c>
      <x:c r="E26" s="17" t="str">
        <x:v>Filters and local results exist; coverage needs runtime checks.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Not started</x:v>
      </x:c>
      <x:c r="O26" s="10" t="str">
        <x:v>Proposed</x:v>
      </x:c>
      <x:c r="P26" s="17" t="str">
        <x:v>polished.js search rendering; polished.js:476-477</x:v>
      </x:c>
      <x:c r="Q26" s="1"/>
      <x:c r="R26" s="1"/>
      <x:c r="S26" s="1"/>
      <x:c r="T26" s="1"/>
    </x:row>
    <x:row r="27" ht="42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Missing</x:v>
      </x:c>
      <x:c r="E27" s="19" t="str">
        <x:v>No dedicated in-chat find workflow found in active shell.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Not started</x:v>
      </x:c>
      <x:c r="O27" s="10" t="str">
        <x:v>Proposed</x:v>
      </x:c>
      <x:c r="P27" s="19" t="str">
        <x:v>polished.html; polished.js search handlers; polished.js:476-477</x:v>
      </x:c>
      <x:c r="Q27" s="1"/>
      <x:c r="R27" s="1"/>
      <x:c r="S27" s="1"/>
      <x:c r="T27" s="1"/>
    </x:row>
    <x:row r="28" ht="4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Missing</x:v>
      </x:c>
      <x:c r="E28" s="17" t="str">
        <x:v>No general command palette in active shell.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Not started</x:v>
      </x:c>
      <x:c r="O28" s="10" t="str">
        <x:v>Proposed</x:v>
      </x:c>
      <x:c r="P28" s="17" t="str">
        <x:v>polished.html; polished.js keyboard handlers; polished.js:476-477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4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Partial</x:v>
      </x:c>
      <x:c r="E31" s="19" t="str">
        <x:v>Pickers/chips exist. Only filenames persist; connected chat rejects attachments.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Not started</x:v>
      </x:c>
      <x:c r="O31" s="10" t="str">
        <x:v>Proposed</x:v>
      </x:c>
      <x:c r="P31" s="19" t="str">
        <x:v>polished.js:213-226,373,423-426; polished.html:99-108</x:v>
      </x:c>
      <x:c r="Q31" s="1"/>
      <x:c r="R31" s="1"/>
      <x:c r="S31" s="1"/>
      <x:c r="T31" s="1"/>
    </x:row>
    <x:row r="32" ht="4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Not verified</x:v>
      </x:c>
      <x:c r="E32" s="17" t="str">
        <x:v>Picker exists; drop and paste coverage unverified.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Not started</x:v>
      </x:c>
      <x:c r="O32" s="10" t="str">
        <x:v>Investigate</x:v>
      </x:c>
      <x:c r="P32" s="17" t="str">
        <x:v>Source/runtime verification needed; polished.js:213-265,408-437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42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Missing</x:v>
      </x:c>
      <x:c r="E34" s="17" t="str">
        <x:v>Copy/reactions/revert exist; no quoted reply action.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Not started</x:v>
      </x:c>
      <x:c r="O34" s="10" t="str">
        <x:v>Proposed</x:v>
      </x:c>
      <x:c r="P34" s="17" t="str">
        <x:v>A0; polished.js openMessageMenu; polished.js:213-265,408-437</x:v>
      </x:c>
      <x:c r="Q34" s="1"/>
      <x:c r="R34" s="1"/>
      <x:c r="S34" s="1"/>
      <x:c r="T34" s="1"/>
    </x:row>
    <x:row r="35" ht="4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Missing</x:v>
      </x:c>
      <x:c r="E35" s="19" t="str">
        <x:v>Revert exists but no complete edit/resend branch workflow.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Not started</x:v>
      </x:c>
      <x:c r="O35" s="10" t="str">
        <x:v>Proposed</x:v>
      </x:c>
      <x:c r="P35" s="19" t="str">
        <x:v>polished.js message actions; polished.js:213-265,408-437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48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Partial</x:v>
      </x:c>
      <x:c r="E39" s="19" t="str">
        <x:v>Stop/cancel path exists; actual backend cancellation needs regression.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Not started</x:v>
      </x:c>
      <x:c r="O39" s="10" t="str">
        <x:v>Proposed</x:v>
      </x:c>
      <x:c r="P39" s="19" t="str">
        <x:v>polished.js; server.cjs; polished.js:193-255,380-422; intentgraph/server.cjs:206-285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42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Partial</x:v>
      </x:c>
      <x:c r="E46" s="17" t="str">
        <x:v>Timestamps and elapsed time shown; attention states need richer treatment.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Not started</x:v>
      </x:c>
      <x:c r="O46" s="10" t="str">
        <x:v>Proposed</x:v>
      </x:c>
      <x:c r="P46" s="17" t="str">
        <x:v>A0; polished.js; polished.js:193-255,380-422; intentgraph/server.cjs:206-285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48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Missing</x:v>
      </x:c>
      <x:c r="E48" s="17" t="str">
        <x:v>No live context budget or usage meter in Aven.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Not started</x:v>
      </x:c>
      <x:c r="O48" s="10" t="str">
        <x:v>Proposed</x:v>
      </x:c>
      <x:c r="P48" s="17" t="str">
        <x:v>polished.html; runtime source; polished.js:193-255,380-422; intentgraph/server.cjs:206-285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48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Missing</x:v>
      </x:c>
      <x:c r="E50" s="17" t="str">
        <x:v>Local history persists; active runtime checkpoints are not durable.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Not started</x:v>
      </x:c>
      <x:c r="O50" s="10" t="str">
        <x:v>Proposed</x:v>
      </x:c>
      <x:c r="P50" s="17" t="str">
        <x:v>architecture.json; agent-runtime.cjs; polished.js:193-255,380-422; intentgraph/server.cjs:206-285</x:v>
      </x:c>
      <x:c r="Q50" s="1"/>
      <x:c r="R50" s="1"/>
      <x:c r="S50" s="1"/>
      <x:c r="T50" s="1"/>
    </x:row>
    <x:row r="51" ht="4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Partial</x:v>
      </x:c>
      <x:c r="E51" s="15" t="str">
        <x:v>Markdown rendering exists; previews show raw syntax.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Not started</x:v>
      </x:c>
      <x:c r="O51" s="13" t="str">
        <x:v>Proposed</x:v>
      </x:c>
      <x:c r="P51" s="15" t="str">
        <x:v>A0; polished.js renderer; polished.js:92-192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42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Partial</x:v>
      </x:c>
      <x:c r="E54" s="17" t="str">
        <x:v>Time and duration exist; chronological grouping is limited.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Not started</x:v>
      </x:c>
      <x:c r="O54" s="10" t="str">
        <x:v>Proposed</x:v>
      </x:c>
      <x:c r="P54" s="17" t="str">
        <x:v>A0; polished.js message metadata; polished.js:92-192</x:v>
      </x:c>
      <x:c r="Q54" s="1"/>
      <x:c r="R54" s="1"/>
      <x:c r="S54" s="1"/>
      <x:c r="T54" s="1"/>
    </x:row>
    <x:row r="55" ht="42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Not verified</x:v>
      </x:c>
      <x:c r="E55" s="19" t="str">
        <x:v>Stream scrolling behavior needs deliberate interaction verification.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Not started</x:v>
      </x:c>
      <x:c r="O55" s="10" t="str">
        <x:v>Investigate</x:v>
      </x:c>
      <x:c r="P55" s="19" t="str">
        <x:v>Runtime verification needed; polished.js:92-192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42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Missing</x:v>
      </x:c>
      <x:c r="E57" s="19" t="str">
        <x:v>No independent branch or side-chat workflow found.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Not started</x:v>
      </x:c>
      <x:c r="O57" s="10" t="str">
        <x:v>Proposed</x:v>
      </x:c>
      <x:c r="P57" s="19" t="str">
        <x:v>polished.html; polished.js; polished.js:92-192</x:v>
      </x:c>
      <x:c r="Q57" s="1"/>
      <x:c r="R57" s="1"/>
      <x:c r="S57" s="1"/>
      <x:c r="T57" s="1"/>
    </x:row>
    <x:row r="58" ht="42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Partial</x:v>
      </x:c>
      <x:c r="E58" s="17" t="str">
        <x:v>Local message IDs exist; persistent deep-link workflow not verified.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Not started</x:v>
      </x:c>
      <x:c r="O58" s="10" t="str">
        <x:v>Proposed</x:v>
      </x:c>
      <x:c r="P58" s="17" t="str">
        <x:v>polished.js message IDs; polished.js:92-192</x:v>
      </x:c>
      <x:c r="Q58" s="1"/>
      <x:c r="R58" s="1"/>
      <x:c r="S58" s="1"/>
      <x:c r="T58" s="1"/>
    </x:row>
    <x:row r="59" ht="42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Missing</x:v>
      </x:c>
      <x:c r="E59" s="19" t="str">
        <x:v>Only three hardcoded reactions exposed.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Not started</x:v>
      </x:c>
      <x:c r="O59" s="10" t="str">
        <x:v>Proposed</x:v>
      </x:c>
      <x:c r="P59" s="19" t="str">
        <x:v>A0; polished.js reactions; polished.js:92-192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48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Partial</x:v>
      </x:c>
      <x:c r="E61" s="19" t="str">
        <x:v>Grouped conversation has Copy conversation; no full file export workflow in active shell.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Not started</x:v>
      </x:c>
      <x:c r="O61" s="10" t="str">
        <x:v>Proposed</x:v>
      </x:c>
      <x:c r="P61" s="19" t="str">
        <x:v>polished.js:460,480; Privacy view is disclosure only</x:v>
      </x:c>
      <x:c r="Q61" s="1"/>
      <x:c r="R61" s="1"/>
      <x:c r="S61" s="1"/>
      <x:c r="T61" s="1"/>
    </x:row>
    <x:row r="62" ht="42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Partial</x:v>
      </x:c>
      <x:c r="E62" s="17" t="str">
        <x:v>Internal migration backup exists. No user-facing import/restore-backup workflow found.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Not started</x:v>
      </x:c>
      <x:c r="O62" s="10" t="str">
        <x:v>Proposed</x:v>
      </x:c>
      <x:c r="P62" s="17" t="str">
        <x:v>polished.js:25-46,485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Authentication and history backend</x:v>
      </x:c>
      <x:c r="M63" s="19" t="str">
        <x:v>Two devices show consistent authorized history with explicit conflict handling.</x:v>
      </x:c>
      <x:c r="N63" s="10" t="str">
        <x:v>Not started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4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Profile switch exists; actual delivery is not established.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Not started</x:v>
      </x:c>
      <x:c r="O67" s="10" t="str">
        <x:v>Proposed</x:v>
      </x:c>
      <x:c r="P67" s="19" t="str">
        <x:v>A0; polished.js profile notifications; polished.js:272-314,472-479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42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Partial</x:v>
      </x:c>
      <x:c r="E69" s="15" t="str">
        <x:v>Theme/accent work; density is stored with limited styling. Language support limited.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Preserve / verify</x:v>
      </x:c>
      <x:c r="O69" s="13" t="str">
        <x:v>Preserve</x:v>
      </x:c>
      <x:c r="P69" s="15" t="str">
        <x:v>polished.js:22,57,480; polished.css:198-210</x:v>
      </x:c>
      <x:c r="Q69" s="1"/>
      <x:c r="R69" s="1"/>
      <x:c r="S69" s="1"/>
      <x:c r="T69" s="1"/>
    </x:row>
    <x:row r="70" ht="42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Preferred provider list exists; active connection stays OpenCode.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Not started</x:v>
      </x:c>
      <x:c r="O70" s="10" t="str">
        <x:v>Proposed</x:v>
      </x:c>
      <x:c r="P70" s="17" t="str">
        <x:v>A0 Models; architecture.json; polished.js:480-482</x:v>
      </x:c>
      <x:c r="Q70" s="1"/>
      <x:c r="R70" s="1"/>
      <x:c r="S70" s="1"/>
      <x:c r="T70" s="1"/>
    </x:row>
    <x:row r="71" ht="4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Connections and network sandbox surfaces exist.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Not started</x:v>
      </x:c>
      <x:c r="O71" s="10" t="str">
        <x:v>Proposed</x:v>
      </x:c>
      <x:c r="P71" s="19" t="str">
        <x:v>polished.html; server.cjs; polished.js:480-482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Authentication backend for future accounts</x:v>
      </x:c>
      <x:c r="M73" s="19" t="str">
        <x:v>No control suggests remote sign-in or sign-out succeeded when it only changes local display.</x:v>
      </x:c>
      <x:c r="N73" s="10" t="str">
        <x:v>Not started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42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Partial</x:v>
      </x:c>
      <x:c r="E74" s="17" t="str">
        <x:v>Help/About/Feedback entries exist; usefulness needs verification.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Not started</x:v>
      </x:c>
      <x:c r="O74" s="10" t="str">
        <x:v>Proposed</x:v>
      </x:c>
      <x:c r="P74" s="17" t="str">
        <x:v>polished.html account-menu; polished.js; polished.js:480-482</x:v>
      </x:c>
      <x:c r="Q74" s="1"/>
      <x:c r="R74" s="1"/>
      <x:c r="S74" s="1"/>
      <x:c r="T74" s="1"/>
    </x:row>
    <x:row r="75" ht="4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Missing</x:v>
      </x:c>
      <x:c r="E75" s="19" t="str">
        <x:v>No complete discoverable keyboard-shortcut panel.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Not started</x:v>
      </x:c>
      <x:c r="O75" s="10" t="str">
        <x:v>Proposed</x:v>
      </x:c>
      <x:c r="P75" s="19" t="str">
        <x:v>polished.html; polished.js; polished.js:480-482</x:v>
      </x:c>
      <x:c r="Q75" s="1"/>
      <x:c r="R75" s="1"/>
      <x:c r="S75" s="1"/>
      <x:c r="T75" s="1"/>
    </x:row>
    <x:row r="76" ht="42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Placeholder</x:v>
      </x:c>
      <x:c r="E76" s="21" t="str">
        <x:v>Artifact pane says outputs are scoped to sample conversation.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Not started</x:v>
      </x:c>
      <x:c r="O76" s="13" t="str">
        <x:v>Proposed</x:v>
      </x:c>
      <x:c r="P76" s="21" t="str">
        <x:v>A0 artifact pane; polished.js; polished.js:319-370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42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Placeholder</x:v>
      </x:c>
      <x:c r="E93" s="15" t="str">
        <x:v>Feed opens No feed yet.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Not started</x:v>
      </x:c>
      <x:c r="O93" s="13" t="str">
        <x:v>Proposed</x:v>
      </x:c>
      <x:c r="P93" s="15" t="str">
        <x:v>A0 Feed; polished.js; polished.js:434-449; intentgraph/ui/index.html:7-8</x:v>
      </x:c>
      <x:c r="Q93" s="1"/>
      <x:c r="R93" s="1"/>
      <x:c r="S93" s="1"/>
      <x:c r="T93" s="1"/>
    </x:row>
    <x:row r="94" ht="48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Placeholder</x:v>
      </x:c>
      <x:c r="E94" s="17" t="str">
        <x:v>Navigation exists; no complete idea-to-work flow established.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Not started</x:v>
      </x:c>
      <x:c r="O94" s="10" t="str">
        <x:v>Proposed</x:v>
      </x:c>
      <x:c r="P94" s="17" t="str">
        <x:v>polished.html Ideas; polished.js; polished.js:434-449; intentgraph/ui/index.html:7-8</x:v>
      </x:c>
      <x:c r="Q94" s="1"/>
      <x:c r="R94" s="1"/>
      <x:c r="S94" s="1"/>
      <x:c r="T94" s="1"/>
    </x:row>
    <x:row r="95" ht="48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Placeholder</x:v>
      </x:c>
      <x:c r="E95" s="19" t="str">
        <x:v>Goals entry exists; durable execution-linked progress not established.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Not started</x:v>
      </x:c>
      <x:c r="O95" s="10" t="str">
        <x:v>Proposed</x:v>
      </x:c>
      <x:c r="P95" s="19" t="str">
        <x:v>polished.html Goals; architecture.json; polished.js:434-449; intentgraph/ui/index.html:7-8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48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Preference exists; event delivery and deep links not verified.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Not started</x:v>
      </x:c>
      <x:c r="O97" s="10" t="str">
        <x:v>Proposed</x:v>
      </x:c>
      <x:c r="P97" s="19" t="str">
        <x:v>polished.js profile preferences; polished.js:434-449; intentgraph/ui/index.html:7-8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Authentication and durable execution</x:v>
      </x:c>
      <x:c r="M100" s="17" t="str">
        <x:v>Handoff preserves context and permissions without concurrent duplicate execution.</x:v>
      </x:c>
      <x:c r="N100" s="10" t="str">
        <x:v>Not started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42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Not verified</x:v>
      </x:c>
      <x:c r="E103" s="19" t="str">
        <x:v>No current conformance audit; visual sidebar overflow confirmed.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Not started</x:v>
      </x:c>
      <x:c r="O103" s="10" t="str">
        <x:v>Investigate</x:v>
      </x:c>
      <x:c r="P103" s="19" t="str">
        <x:v>A0; polished.css; polished.css:45-64,116-143,325-329; polished.js:19-58,437-449</x:v>
      </x:c>
      <x:c r="Q103" s="1"/>
      <x:c r="R103" s="1"/>
      <x:c r="S103" s="1"/>
      <x:c r="T103" s="1"/>
    </x:row>
    <x:row r="104" ht="48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Partial</x:v>
      </x:c>
      <x:c r="E104" s="17" t="str">
        <x:v>CSS and preference handling require runtime verification.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Not started</x:v>
      </x:c>
      <x:c r="O104" s="10" t="str">
        <x:v>Proposed</x:v>
      </x:c>
      <x:c r="P104" s="17" t="str">
        <x:v>polished.css motion rules; polished.css:45-64,116-143,325-329; polished.js:19-58,437-449</x:v>
      </x:c>
      <x:c r="Q104" s="1"/>
      <x:c r="R104" s="1"/>
      <x:c r="S104" s="1"/>
      <x:c r="T104" s="1"/>
    </x:row>
    <x:row r="105" ht="48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Partial</x:v>
      </x:c>
      <x:c r="E105" s="19" t="str">
        <x:v>Hover/focus actions exist; reaction layout is incorrect.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Not started</x:v>
      </x:c>
      <x:c r="O105" s="10" t="str">
        <x:v>Proposed</x:v>
      </x:c>
      <x:c r="P105" s="19" t="str">
        <x:v>A0; polished.js menu positioning; polished.css:45-64,116-143,325-329; polished.js:19-58,437-449</x:v>
      </x:c>
      <x:c r="Q105" s="1"/>
      <x:c r="R105" s="1"/>
      <x:c r="S105" s="1"/>
      <x:c r="T105" s="1"/>
    </x:row>
    <x:row r="106" ht="4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Partial</x:v>
      </x:c>
      <x:c r="E106" s="17" t="str">
        <x:v>Responsive rules exist; narrow embedded pane shows heavy overflow.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Not started</x:v>
      </x:c>
      <x:c r="O106" s="10" t="str">
        <x:v>Proposed</x:v>
      </x:c>
      <x:c r="P106" s="17" t="str">
        <x:v>A0/C0; polished.css; polished.css:45-64,116-143,325-329; polished.js:19-58,437-449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48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Partial</x:v>
      </x:c>
      <x:c r="E112" s="17" t="str">
        <x:v>Prototype revision in URL; architecture is a dated snapshot.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Build/runtime version contract</x:v>
      </x:c>
      <x:c r="M112" s="17" t="str">
        <x:v>Support report identifies exact build and contains no provider keys.</x:v>
      </x:c>
      <x:c r="N112" s="10" t="str">
        <x:v>Not started</x:v>
      </x:c>
      <x:c r="O112" s="10" t="str">
        <x:v>Proposed</x:v>
      </x:c>
      <x:c r="P112" s="17" t="str">
        <x:v>polished.html revision; architecture.json; polished.css:45-64,116-143,325-329; polished.js:19-58,437-449</x:v>
      </x:c>
      <x:c r="Q112" s="1"/>
      <x:c r="R112" s="1"/>
      <x:c r="S112" s="1"/>
      <x:c r="T112" s="1"/>
    </x:row>
    <x:row r="113" ht="48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Needs fix</x:v>
      </x:c>
      <x:c r="E113" s="19" t="str">
        <x:v>Agent, coworker, team and workspace labels overlap.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In progress</x:v>
      </x:c>
      <x:c r="O113" s="10" t="str">
        <x:v>Agreed</x:v>
      </x:c>
      <x:c r="P113" s="19" t="str">
        <x:v>A0; polished.html; polished.js; polished.css:45-64,116-143,325-329; polished.js:19-58,437-449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Identity, tenancy and authorization</x:v>
      </x:c>
      <x:c r="M114" s="17" t="str">
        <x:v>Wrong-customer data is inaccessible; workspace/access context is explicit.</x:v>
      </x:c>
      <x:c r="N114" s="10" t="str">
        <x:v>Not started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42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Partial</x:v>
      </x:c>
      <x:c r="E117" s="19" t="str">
        <x:v>Local abort exists; remote Catalyst task cancellation is unavailable.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Not started</x:v>
      </x:c>
      <x:c r="O117" s="10" t="str">
        <x:v>Proposed</x:v>
      </x:c>
      <x:c r="P117" s="19" t="str">
        <x:v>intentgraph/catalyst.cjs:323-378</x:v>
      </x:c>
      <x:c r="Q117" s="1"/>
      <x:c r="R117" s="1"/>
      <x:c r="S117" s="1"/>
      <x:c r="T117" s="1"/>
    </x:row>
    <x:row r="118" ht="42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Missing</x:v>
      </x:c>
      <x:c r="E118" s="21" t="str">
        <x:v>Only recent 24 messages within 32,000 characters are sent; no context-window UI.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Not started</x:v>
      </x:c>
      <x:c r="O118" s="13" t="str">
        <x:v>Proposed</x:v>
      </x:c>
      <x:c r="P118" s="21" t="str">
        <x:v>polished.js:408-415</x:v>
      </x:c>
      <x:c r="Q118" s="1"/>
      <x:c r="R118" s="1"/>
      <x:c r="S118" s="1"/>
      <x:c r="T118" s="1"/>
    </x:row>
    <x:row r="119" ht="42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Needs fix</x:v>
      </x:c>
      <x:c r="E119" s="15" t="str">
        <x:v>Document editor suggests behavior/memory, but those local docs are not in chat payload.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In progress</x:v>
      </x:c>
      <x:c r="O119" s="13" t="str">
        <x:v>Agreed</x:v>
      </x:c>
      <x:c r="P119" s="15" t="str">
        <x:v>polished.js:272-280,314,408-415; intentgraph/agent-runtime.cjs:363</x:v>
      </x:c>
      <x:c r="Q119" s="1"/>
      <x:c r="R119" s="1"/>
      <x:c r="S119" s="1"/>
      <x:c r="T119" s="1"/>
    </x:row>
    <x:row r="120" ht="42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Missing</x:v>
      </x:c>
      <x:c r="E120" s="21" t="str">
        <x:v>Renderer lacks linked sources and rich attachment/media output.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Safe renderer and attachment backend</x:v>
      </x:c>
      <x:c r="M120" s="21" t="str">
        <x:v>Links open correct source; unsupported media remains a labeled file; raw CLI remains unchanged.</x:v>
      </x:c>
      <x:c r="N120" s="13" t="str">
        <x:v>Not started</x:v>
      </x:c>
      <x:c r="O120" s="13" t="str">
        <x:v>Proposed</x:v>
      </x:c>
      <x:c r="P120" s="21" t="str">
        <x:v>polished.js:92-114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4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Partial</x:v>
      </x:c>
      <x:c r="E122" s="21" t="str">
        <x:v>English/system preference; other languages explicitly unsupported.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Not started</x:v>
      </x:c>
      <x:c r="O122" s="13" t="str">
        <x:v>Proposed</x:v>
      </x:c>
      <x:c r="P122" s="21" t="str">
        <x:v>polished.js:480</x:v>
      </x:c>
      <x:c r="Q122" s="1"/>
      <x:c r="R122" s="1"/>
      <x:c r="S122" s="1"/>
      <x:c r="T122" s="1"/>
    </x:row>
    <x:row r="123" ht="42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Partial</x:v>
      </x:c>
      <x:c r="E123" s="15" t="str">
        <x:v>One active request for the whole backend; queue exists.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Not started</x:v>
      </x:c>
      <x:c r="O123" s="13" t="str">
        <x:v>Proposed</x:v>
      </x:c>
      <x:c r="P123" s="15" t="str">
        <x:v>polished.js:408-422; intentgraph/server.cjs:236-285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130cfe5ac64c7b"/>
  </x:tableParts>
</x:worksheet>
</file>